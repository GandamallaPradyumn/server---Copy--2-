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angal Cut Comparis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HUPALAPALLAY" sheetId="3" state="visible" r:id="rId3"/>
    <sheet xmlns:r="http://schemas.openxmlformats.org/officeDocument/2006/relationships" name="HANAMKONDA" sheetId="4" state="visible" r:id="rId4"/>
    <sheet xmlns:r="http://schemas.openxmlformats.org/officeDocument/2006/relationships" name="JANGAON" sheetId="5" state="visible" r:id="rId5"/>
    <sheet xmlns:r="http://schemas.openxmlformats.org/officeDocument/2006/relationships" name="MAHABOOBABAD" sheetId="6" state="visible" r:id="rId6"/>
    <sheet xmlns:r="http://schemas.openxmlformats.org/officeDocument/2006/relationships" name="NARSAMPET" sheetId="7" state="visible" r:id="rId7"/>
    <sheet xmlns:r="http://schemas.openxmlformats.org/officeDocument/2006/relationships" name="PARKAL" sheetId="8" state="visible" r:id="rId8"/>
    <sheet xmlns:r="http://schemas.openxmlformats.org/officeDocument/2006/relationships" name="THORROR" sheetId="9" state="visible" r:id="rId9"/>
    <sheet xmlns:r="http://schemas.openxmlformats.org/officeDocument/2006/relationships" name="WARANGAL-I" sheetId="10" state="visible" r:id="rId10"/>
    <sheet xmlns:r="http://schemas.openxmlformats.org/officeDocument/2006/relationships" name="WARANGAL-I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-#,##0;0"/>
    <numFmt numFmtId="165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1E3A8A"/>
      <sz val="11"/>
    </font>
    <font>
      <name val="Arial"/>
      <b val="1"/>
      <color rgb="00FFFFFF"/>
      <sz val="9"/>
    </font>
    <font>
      <name val="Arial"/>
      <b val="1"/>
      <color rgb="001F2937"/>
      <sz val="9"/>
    </font>
    <font>
      <name val="Arial"/>
      <color rgb="001F2937"/>
      <sz val="9"/>
    </font>
    <font>
      <name val="Arial"/>
      <b val="1"/>
      <color rgb="001F497D"/>
      <sz val="9.5"/>
    </font>
    <font>
      <name val="Arial"/>
      <b val="1"/>
      <color rgb="00134F5C"/>
      <sz val="9.5"/>
    </font>
    <font>
      <name val="Arial"/>
      <b val="1"/>
      <color rgb="00351C75"/>
      <sz val="9.5"/>
    </font>
    <font>
      <name val="Arial"/>
      <b val="1"/>
      <color rgb="000F172A"/>
      <sz val="9"/>
    </font>
    <font>
      <name val="Arial"/>
      <b val="1"/>
      <color rgb="00783F04"/>
      <sz val="9"/>
    </font>
    <font>
      <name val="Arial"/>
      <color rgb="00334155"/>
      <sz val="8.5"/>
    </font>
  </fonts>
  <fills count="11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  <fill>
      <patternFill patternType="solid">
        <fgColor rgb="001F497D"/>
        <bgColor rgb="001F497D"/>
      </patternFill>
    </fill>
    <fill>
      <patternFill patternType="solid">
        <fgColor rgb="00F8FAFC"/>
        <bgColor rgb="00F8FAFC"/>
      </patternFill>
    </fill>
    <fill>
      <patternFill patternType="solid">
        <fgColor rgb="00351C75"/>
        <bgColor rgb="00351C75"/>
      </patternFill>
    </fill>
    <fill>
      <patternFill patternType="solid">
        <fgColor rgb="00134F5C"/>
        <bgColor rgb="00134F5C"/>
      </patternFill>
    </fill>
    <fill>
      <patternFill patternType="solid">
        <fgColor rgb="00E2E8F0"/>
        <bgColor rgb="00E2E8F0"/>
      </patternFill>
    </fill>
    <fill>
      <patternFill patternType="solid">
        <fgColor rgb="00783F04"/>
        <bgColor rgb="00783F04"/>
      </patternFill>
    </fill>
    <fill>
      <patternFill patternType="solid">
        <fgColor rgb="00F1F5F9"/>
        <bgColor rgb="00F1F5F9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4A3B8"/>
      </left>
      <right style="thin">
        <color rgb="0094A3B8"/>
      </right>
      <top style="thin">
        <color rgb="0064748B"/>
      </top>
      <bottom style="double">
        <color rgb="000F172A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0" fontId="6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/>
    </xf>
    <xf numFmtId="164" fontId="6" fillId="5" borderId="2" applyAlignment="1" pivotButton="0" quotePrefix="0" xfId="0">
      <alignment horizontal="right" vertical="center"/>
    </xf>
    <xf numFmtId="165" fontId="6" fillId="5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right" vertical="center"/>
    </xf>
    <xf numFmtId="0" fontId="6" fillId="5" borderId="2" applyAlignment="1" pivotButton="0" quotePrefix="0" xfId="0">
      <alignment horizontal="right" vertical="center"/>
    </xf>
    <xf numFmtId="3" fontId="6" fillId="5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0" fontId="10" fillId="8" borderId="3" applyAlignment="1" pivotButton="0" quotePrefix="0" xfId="0">
      <alignment horizontal="left" vertical="center"/>
    </xf>
    <xf numFmtId="1" fontId="10" fillId="8" borderId="3" applyAlignment="1" pivotButton="0" quotePrefix="0" xfId="0">
      <alignment horizontal="right" vertical="center"/>
    </xf>
    <xf numFmtId="3" fontId="10" fillId="8" borderId="3" applyAlignment="1" pivotButton="0" quotePrefix="0" xfId="0">
      <alignment horizontal="right" vertical="center"/>
    </xf>
    <xf numFmtId="164" fontId="10" fillId="8" borderId="3" applyAlignment="1" pivotButton="0" quotePrefix="0" xfId="0">
      <alignment horizontal="right" vertical="center"/>
    </xf>
    <xf numFmtId="165" fontId="10" fillId="8" borderId="3" applyAlignment="1" pivotButton="0" quotePrefix="0" xfId="0">
      <alignment horizontal="right" vertical="center"/>
    </xf>
    <xf numFmtId="0" fontId="12" fillId="10" borderId="0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1" fillId="0" borderId="0" pivotButton="0" quotePrefix="0" xfId="0"/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/>
    </xf>
    <xf numFmtId="0" fontId="12" fillId="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4" customWidth="1" min="4" max="4"/>
    <col width="34" customWidth="1" min="5" max="5"/>
  </cols>
  <sheetData>
    <row r="1" ht="28" customHeight="1">
      <c r="A1" s="1" t="inlineStr">
        <is>
          <t>WARANGAL REGION DEPOT SERVICE CUT ANALYSIS (LAST 30 DAYS)</t>
        </is>
      </c>
    </row>
    <row r="2" ht="20" customHeight="1">
      <c r="A2" s="2" t="inlineStr">
        <is>
          <t>Layout: depot | predicted cut [service(count)] | actual cut [service(count)]  |  Source: warangal_cut_services_analysis.xlsx</t>
        </is>
      </c>
    </row>
    <row r="4">
      <c r="A4" s="3" t="inlineStr">
        <is>
          <t>FORMAT 1: DEPOT-WISE PREDICTED VS ACTUAL CUT SERVICES (LAST 30 DAYS)</t>
        </is>
      </c>
    </row>
    <row r="5" ht="24" customHeight="1">
      <c r="A5" s="4" t="inlineStr">
        <is>
          <t>depot</t>
        </is>
      </c>
      <c r="B5" s="5" t="inlineStr">
        <is>
          <t>predicted cut</t>
        </is>
      </c>
      <c r="C5" s="5" t="inlineStr">
        <is>
          <t>actual cut</t>
        </is>
      </c>
      <c r="D5" s="6" t="inlineStr">
        <is>
          <t>Difference (Act - Pred)</t>
        </is>
      </c>
      <c r="E5" s="6" t="inlineStr">
        <is>
          <t>Match %</t>
        </is>
      </c>
    </row>
    <row r="6" ht="20" customHeight="1">
      <c r="A6" s="7" t="inlineStr">
        <is>
          <t>BHUPALAPALLAY</t>
        </is>
      </c>
      <c r="B6" s="8" t="inlineStr">
        <is>
          <t>HKL5(0)</t>
        </is>
      </c>
      <c r="C6" s="8" t="inlineStr">
        <is>
          <t>HKL5(24)</t>
        </is>
      </c>
      <c r="D6" s="9" t="n">
        <v>24</v>
      </c>
      <c r="E6" s="10" t="n">
        <v>0</v>
      </c>
    </row>
    <row r="7" ht="20" customHeight="1">
      <c r="A7" s="11" t="inlineStr"/>
      <c r="B7" s="12" t="inlineStr">
        <is>
          <t>HNK7(0)</t>
        </is>
      </c>
      <c r="C7" s="12" t="inlineStr">
        <is>
          <t>HNK7(21)</t>
        </is>
      </c>
      <c r="D7" s="13" t="n">
        <v>21</v>
      </c>
      <c r="E7" s="14" t="n">
        <v>0</v>
      </c>
    </row>
    <row r="8" ht="20" customHeight="1">
      <c r="A8" s="15" t="inlineStr"/>
      <c r="B8" s="8" t="inlineStr">
        <is>
          <t>PGD5(0)</t>
        </is>
      </c>
      <c r="C8" s="8" t="inlineStr">
        <is>
          <t>PGD5(19)</t>
        </is>
      </c>
      <c r="D8" s="9" t="n">
        <v>19</v>
      </c>
      <c r="E8" s="10" t="n">
        <v>0</v>
      </c>
    </row>
    <row r="9" ht="20" customHeight="1">
      <c r="A9" s="11" t="inlineStr"/>
      <c r="B9" s="12" t="inlineStr">
        <is>
          <t>PBM3(0)</t>
        </is>
      </c>
      <c r="C9" s="12" t="inlineStr">
        <is>
          <t>PBM3(17)</t>
        </is>
      </c>
      <c r="D9" s="13" t="n">
        <v>17</v>
      </c>
      <c r="E9" s="14" t="n">
        <v>0</v>
      </c>
    </row>
    <row r="10" ht="20" customHeight="1">
      <c r="A10" s="15" t="inlineStr"/>
      <c r="B10" s="8" t="inlineStr">
        <is>
          <t>BNR1(0)</t>
        </is>
      </c>
      <c r="C10" s="8" t="inlineStr">
        <is>
          <t>BNR1(8)</t>
        </is>
      </c>
      <c r="D10" s="9" t="n">
        <v>8</v>
      </c>
      <c r="E10" s="10" t="n">
        <v>0</v>
      </c>
    </row>
    <row r="11" ht="20" customHeight="1">
      <c r="A11" s="16" t="inlineStr">
        <is>
          <t>HANAMKONDA</t>
        </is>
      </c>
      <c r="B11" s="12" t="inlineStr">
        <is>
          <t>HKM2(14)</t>
        </is>
      </c>
      <c r="C11" s="12" t="inlineStr">
        <is>
          <t>HKM2(24)</t>
        </is>
      </c>
      <c r="D11" s="13" t="n">
        <v>10</v>
      </c>
      <c r="E11" s="14" t="n">
        <v>0.5833333333333334</v>
      </c>
    </row>
    <row r="12" ht="20" customHeight="1">
      <c r="A12" s="15" t="inlineStr"/>
      <c r="B12" s="8" t="inlineStr">
        <is>
          <t>60C2(13)</t>
        </is>
      </c>
      <c r="C12" s="8" t="inlineStr">
        <is>
          <t>60C2(22)</t>
        </is>
      </c>
      <c r="D12" s="9" t="n">
        <v>9</v>
      </c>
      <c r="E12" s="10" t="n">
        <v>0.5909090909090909</v>
      </c>
    </row>
    <row r="13" ht="20" customHeight="1">
      <c r="A13" s="11" t="inlineStr"/>
      <c r="B13" s="12" t="inlineStr">
        <is>
          <t>DPV1(6)</t>
        </is>
      </c>
      <c r="C13" s="12" t="inlineStr">
        <is>
          <t>DPV1(11)</t>
        </is>
      </c>
      <c r="D13" s="13" t="n">
        <v>5</v>
      </c>
      <c r="E13" s="14" t="n">
        <v>0.5454545454545454</v>
      </c>
    </row>
    <row r="14" ht="20" customHeight="1">
      <c r="A14" s="15" t="inlineStr"/>
      <c r="B14" s="8" t="inlineStr">
        <is>
          <t>60C1(5)</t>
        </is>
      </c>
      <c r="C14" s="8" t="inlineStr">
        <is>
          <t>60C1(21)</t>
        </is>
      </c>
      <c r="D14" s="9" t="n">
        <v>16</v>
      </c>
      <c r="E14" s="10" t="n">
        <v>0.2380952380952381</v>
      </c>
    </row>
    <row r="15" ht="20" customHeight="1">
      <c r="A15" s="11" t="inlineStr"/>
      <c r="B15" s="12" t="inlineStr">
        <is>
          <t>KNV1(5)</t>
        </is>
      </c>
      <c r="C15" s="12" t="inlineStr">
        <is>
          <t>KNV1(8)</t>
        </is>
      </c>
      <c r="D15" s="13" t="n">
        <v>3</v>
      </c>
      <c r="E15" s="14" t="n">
        <v>0.625</v>
      </c>
    </row>
    <row r="16" ht="20" customHeight="1">
      <c r="A16" s="15" t="inlineStr"/>
      <c r="B16" s="8" t="inlineStr">
        <is>
          <t>59C2(4)</t>
        </is>
      </c>
      <c r="C16" s="8" t="inlineStr">
        <is>
          <t>59C2(20)</t>
        </is>
      </c>
      <c r="D16" s="9" t="n">
        <v>16</v>
      </c>
      <c r="E16" s="10" t="n">
        <v>0.2</v>
      </c>
    </row>
    <row r="17" ht="20" customHeight="1">
      <c r="A17" s="11" t="inlineStr"/>
      <c r="B17" s="12" t="inlineStr">
        <is>
          <t>59C1(2)</t>
        </is>
      </c>
      <c r="C17" s="12" t="inlineStr">
        <is>
          <t>59C1(18)</t>
        </is>
      </c>
      <c r="D17" s="13" t="n">
        <v>16</v>
      </c>
      <c r="E17" s="14" t="n">
        <v>0.1111111111111111</v>
      </c>
    </row>
    <row r="18" ht="20" customHeight="1">
      <c r="A18" s="15" t="inlineStr"/>
      <c r="B18" s="8" t="inlineStr">
        <is>
          <t>4JM2(1)</t>
        </is>
      </c>
      <c r="C18" s="8" t="inlineStr">
        <is>
          <t>4JM2(8)</t>
        </is>
      </c>
      <c r="D18" s="9" t="n">
        <v>7</v>
      </c>
      <c r="E18" s="10" t="n">
        <v>0.125</v>
      </c>
    </row>
    <row r="19" ht="20" customHeight="1">
      <c r="A19" s="16" t="inlineStr">
        <is>
          <t>JANGAON</t>
        </is>
      </c>
      <c r="B19" s="12" t="inlineStr">
        <is>
          <t>HN13(11)</t>
        </is>
      </c>
      <c r="C19" s="12" t="inlineStr">
        <is>
          <t>HN13(7)</t>
        </is>
      </c>
      <c r="D19" s="13" t="n">
        <v>-4</v>
      </c>
      <c r="E19" s="14" t="n">
        <v>0.6363636363636364</v>
      </c>
    </row>
    <row r="20" ht="20" customHeight="1">
      <c r="A20" s="15" t="inlineStr"/>
      <c r="B20" s="8" t="inlineStr">
        <is>
          <t>W193(1)</t>
        </is>
      </c>
      <c r="C20" s="8" t="inlineStr">
        <is>
          <t>W193(9)</t>
        </is>
      </c>
      <c r="D20" s="9" t="n">
        <v>8</v>
      </c>
      <c r="E20" s="10" t="n">
        <v>0.1111111111111111</v>
      </c>
    </row>
    <row r="21" ht="20" customHeight="1">
      <c r="A21" s="11" t="inlineStr"/>
      <c r="B21" s="12" t="inlineStr">
        <is>
          <t>JSB1(1)</t>
        </is>
      </c>
      <c r="C21" s="12" t="inlineStr">
        <is>
          <t>JSB1(8)</t>
        </is>
      </c>
      <c r="D21" s="13" t="n">
        <v>7</v>
      </c>
      <c r="E21" s="14" t="n">
        <v>0.125</v>
      </c>
    </row>
    <row r="22" ht="20" customHeight="1">
      <c r="A22" s="7" t="inlineStr">
        <is>
          <t>MAHABOOBABAD</t>
        </is>
      </c>
      <c r="B22" s="8" t="inlineStr">
        <is>
          <t>BDB2(9)</t>
        </is>
      </c>
      <c r="C22" s="8" t="inlineStr">
        <is>
          <t>BDB2(9)</t>
        </is>
      </c>
      <c r="D22" s="9" t="n">
        <v>0</v>
      </c>
      <c r="E22" s="10" t="n">
        <v>1</v>
      </c>
    </row>
    <row r="23" ht="20" customHeight="1">
      <c r="A23" s="11" t="inlineStr"/>
      <c r="B23" s="12" t="inlineStr">
        <is>
          <t>BDB1(2)</t>
        </is>
      </c>
      <c r="C23" s="12" t="inlineStr">
        <is>
          <t>BDB1(9)</t>
        </is>
      </c>
      <c r="D23" s="13" t="n">
        <v>7</v>
      </c>
      <c r="E23" s="14" t="n">
        <v>0.2222222222222222</v>
      </c>
    </row>
    <row r="24" ht="20" customHeight="1">
      <c r="A24" s="15" t="inlineStr"/>
      <c r="B24" s="8" t="inlineStr">
        <is>
          <t>EY04(1)</t>
        </is>
      </c>
      <c r="C24" s="8" t="inlineStr">
        <is>
          <t>EY04(10)</t>
        </is>
      </c>
      <c r="D24" s="9" t="n">
        <v>9</v>
      </c>
      <c r="E24" s="10" t="n">
        <v>0.1</v>
      </c>
    </row>
    <row r="25" ht="20" customHeight="1">
      <c r="A25" s="11" t="inlineStr"/>
      <c r="B25" s="12" t="inlineStr">
        <is>
          <t>GUM1(1)</t>
        </is>
      </c>
      <c r="C25" s="12" t="inlineStr">
        <is>
          <t>GUM1(3)</t>
        </is>
      </c>
      <c r="D25" s="13" t="n">
        <v>2</v>
      </c>
      <c r="E25" s="14" t="n">
        <v>0.3333333333333333</v>
      </c>
    </row>
    <row r="26" ht="20" customHeight="1">
      <c r="A26" s="7" t="inlineStr">
        <is>
          <t>NARSAMPET</t>
        </is>
      </c>
      <c r="B26" s="8" t="inlineStr">
        <is>
          <t>ING2(11)</t>
        </is>
      </c>
      <c r="C26" s="8" t="inlineStr">
        <is>
          <t>ING2(20)</t>
        </is>
      </c>
      <c r="D26" s="9" t="n">
        <v>9</v>
      </c>
      <c r="E26" s="10" t="n">
        <v>0.55</v>
      </c>
    </row>
    <row r="27" ht="20" customHeight="1">
      <c r="A27" s="16" t="inlineStr">
        <is>
          <t>PARKAL</t>
        </is>
      </c>
      <c r="B27" s="12" t="inlineStr">
        <is>
          <t>GM03(13)</t>
        </is>
      </c>
      <c r="C27" s="12" t="inlineStr">
        <is>
          <t>GM03(23)</t>
        </is>
      </c>
      <c r="D27" s="13" t="n">
        <v>10</v>
      </c>
      <c r="E27" s="14" t="n">
        <v>0.5652173913043478</v>
      </c>
    </row>
    <row r="28" ht="20" customHeight="1">
      <c r="A28" s="15" t="inlineStr"/>
      <c r="B28" s="8" t="inlineStr">
        <is>
          <t>NP02(13)</t>
        </is>
      </c>
      <c r="C28" s="8" t="inlineStr">
        <is>
          <t>NP02(23)</t>
        </is>
      </c>
      <c r="D28" s="9" t="n">
        <v>10</v>
      </c>
      <c r="E28" s="10" t="n">
        <v>0.5652173913043478</v>
      </c>
    </row>
    <row r="29" ht="20" customHeight="1">
      <c r="A29" s="11" t="inlineStr"/>
      <c r="B29" s="12" t="inlineStr">
        <is>
          <t>LKV1(5)</t>
        </is>
      </c>
      <c r="C29" s="12" t="inlineStr">
        <is>
          <t>LKV1(8)</t>
        </is>
      </c>
      <c r="D29" s="13" t="n">
        <v>3</v>
      </c>
      <c r="E29" s="14" t="n">
        <v>0.625</v>
      </c>
    </row>
    <row r="30" ht="20" customHeight="1">
      <c r="A30" s="7" t="inlineStr">
        <is>
          <t>THORROR</t>
        </is>
      </c>
      <c r="B30" s="8" t="inlineStr">
        <is>
          <t>IBK1(17)</t>
        </is>
      </c>
      <c r="C30" s="8" t="inlineStr">
        <is>
          <t>IBK1(15)</t>
        </is>
      </c>
      <c r="D30" s="9" t="n">
        <v>-2</v>
      </c>
      <c r="E30" s="10" t="n">
        <v>0.8823529411764706</v>
      </c>
    </row>
    <row r="31" ht="20" customHeight="1">
      <c r="A31" s="16" t="inlineStr">
        <is>
          <t>WARANGAL-I</t>
        </is>
      </c>
      <c r="B31" s="12" t="inlineStr">
        <is>
          <t>HKW2(29)</t>
        </is>
      </c>
      <c r="C31" s="12" t="inlineStr">
        <is>
          <t>HKW2(14)</t>
        </is>
      </c>
      <c r="D31" s="13" t="n">
        <v>-15</v>
      </c>
      <c r="E31" s="14" t="n">
        <v>0.4827586206896552</v>
      </c>
    </row>
    <row r="32" ht="20" customHeight="1">
      <c r="A32" s="15" t="inlineStr"/>
      <c r="B32" s="8" t="inlineStr">
        <is>
          <t>HRK1(29)</t>
        </is>
      </c>
      <c r="C32" s="8" t="inlineStr">
        <is>
          <t>HRK1(14)</t>
        </is>
      </c>
      <c r="D32" s="9" t="n">
        <v>-15</v>
      </c>
      <c r="E32" s="10" t="n">
        <v>0.4827586206896552</v>
      </c>
    </row>
    <row r="33" ht="20" customHeight="1">
      <c r="A33" s="11" t="inlineStr"/>
      <c r="B33" s="12" t="inlineStr">
        <is>
          <t>HKW1(29)</t>
        </is>
      </c>
      <c r="C33" s="12" t="inlineStr">
        <is>
          <t>HKW1(13)</t>
        </is>
      </c>
      <c r="D33" s="13" t="n">
        <v>-16</v>
      </c>
      <c r="E33" s="14" t="n">
        <v>0.4482758620689655</v>
      </c>
    </row>
    <row r="34" ht="20" customHeight="1">
      <c r="A34" s="15" t="inlineStr"/>
      <c r="B34" s="8" t="inlineStr">
        <is>
          <t>KRS1(11)</t>
        </is>
      </c>
      <c r="C34" s="8" t="inlineStr">
        <is>
          <t>KRS1(4)</t>
        </is>
      </c>
      <c r="D34" s="9" t="n">
        <v>-7</v>
      </c>
      <c r="E34" s="10" t="n">
        <v>0.3636363636363636</v>
      </c>
    </row>
    <row r="35" ht="20" customHeight="1">
      <c r="A35" s="11" t="inlineStr"/>
      <c r="B35" s="12" t="inlineStr">
        <is>
          <t>KSO1(2)</t>
        </is>
      </c>
      <c r="C35" s="12" t="inlineStr">
        <is>
          <t>KSO1(8)</t>
        </is>
      </c>
      <c r="D35" s="13" t="n">
        <v>6</v>
      </c>
      <c r="E35" s="14" t="n">
        <v>0.25</v>
      </c>
    </row>
    <row r="36" ht="20" customHeight="1">
      <c r="A36" s="7" t="inlineStr">
        <is>
          <t>WARANGAL-II</t>
        </is>
      </c>
      <c r="B36" s="8" t="inlineStr">
        <is>
          <t>EK02(0)</t>
        </is>
      </c>
      <c r="C36" s="8" t="inlineStr">
        <is>
          <t>EK02(27)</t>
        </is>
      </c>
      <c r="D36" s="9" t="n">
        <v>27</v>
      </c>
      <c r="E36" s="10" t="n">
        <v>0</v>
      </c>
    </row>
    <row r="37" ht="20" customHeight="1">
      <c r="A37" s="11" t="inlineStr"/>
      <c r="B37" s="12" t="inlineStr">
        <is>
          <t>EK07(0)</t>
        </is>
      </c>
      <c r="C37" s="12" t="inlineStr">
        <is>
          <t>EK07(27)</t>
        </is>
      </c>
      <c r="D37" s="13" t="n">
        <v>27</v>
      </c>
      <c r="E37" s="14" t="n">
        <v>0</v>
      </c>
    </row>
    <row r="38" ht="20" customHeight="1">
      <c r="A38" s="15" t="inlineStr"/>
      <c r="B38" s="8" t="inlineStr">
        <is>
          <t>EK08(0)</t>
        </is>
      </c>
      <c r="C38" s="8" t="inlineStr">
        <is>
          <t>EK08(25)</t>
        </is>
      </c>
      <c r="D38" s="9" t="n">
        <v>25</v>
      </c>
      <c r="E38" s="10" t="n">
        <v>0</v>
      </c>
    </row>
    <row r="39" ht="20" customHeight="1">
      <c r="A39" s="11" t="inlineStr"/>
      <c r="B39" s="12" t="inlineStr">
        <is>
          <t>ED17(0)</t>
        </is>
      </c>
      <c r="C39" s="12" t="inlineStr">
        <is>
          <t>ED17(22)</t>
        </is>
      </c>
      <c r="D39" s="13" t="n">
        <v>22</v>
      </c>
      <c r="E39" s="14" t="n">
        <v>0</v>
      </c>
    </row>
    <row r="40" ht="20" customHeight="1">
      <c r="A40" s="15" t="inlineStr"/>
      <c r="B40" s="8" t="inlineStr">
        <is>
          <t>ES17(0)</t>
        </is>
      </c>
      <c r="C40" s="8" t="inlineStr">
        <is>
          <t>ES17(21)</t>
        </is>
      </c>
      <c r="D40" s="9" t="n">
        <v>21</v>
      </c>
      <c r="E40" s="10" t="n">
        <v>0</v>
      </c>
    </row>
    <row r="43">
      <c r="A43" s="3" t="inlineStr">
        <is>
          <t>FORMAT 2: HIGHEST COUNT OF CUTS &amp; ACTUALS COMPARISON (PREDICTED SERVICES RANKED BY CUT VOLUME)</t>
        </is>
      </c>
    </row>
    <row r="44" ht="24" customHeight="1">
      <c r="A44" s="17" t="inlineStr">
        <is>
          <t>depot</t>
        </is>
      </c>
      <c r="B44" s="18" t="inlineStr">
        <is>
          <t>predicted cut</t>
        </is>
      </c>
      <c r="C44" s="18" t="inlineStr">
        <is>
          <t>actual cut</t>
        </is>
      </c>
      <c r="D44" s="19" t="inlineStr">
        <is>
          <t>Difference (Act - Pred)</t>
        </is>
      </c>
      <c r="E44" s="19" t="inlineStr">
        <is>
          <t>Match %</t>
        </is>
      </c>
    </row>
    <row r="45" ht="20" customHeight="1">
      <c r="A45" s="7" t="inlineStr">
        <is>
          <t>WARANGAL-I</t>
        </is>
      </c>
      <c r="B45" s="8" t="inlineStr">
        <is>
          <t>HKW2(29)</t>
        </is>
      </c>
      <c r="C45" s="8" t="inlineStr">
        <is>
          <t>HKW2(14)</t>
        </is>
      </c>
      <c r="D45" s="9" t="n">
        <v>-15</v>
      </c>
      <c r="E45" s="10" t="n">
        <v>0.4827586206896552</v>
      </c>
    </row>
    <row r="46" ht="20" customHeight="1">
      <c r="A46" s="16" t="inlineStr">
        <is>
          <t>WARANGAL-I</t>
        </is>
      </c>
      <c r="B46" s="12" t="inlineStr">
        <is>
          <t>HRK1(29)</t>
        </is>
      </c>
      <c r="C46" s="12" t="inlineStr">
        <is>
          <t>HRK1(14)</t>
        </is>
      </c>
      <c r="D46" s="13" t="n">
        <v>-15</v>
      </c>
      <c r="E46" s="14" t="n">
        <v>0.4827586206896552</v>
      </c>
    </row>
    <row r="47" ht="20" customHeight="1">
      <c r="A47" s="7" t="inlineStr">
        <is>
          <t>WARANGAL-I</t>
        </is>
      </c>
      <c r="B47" s="8" t="inlineStr">
        <is>
          <t>HKW1(29)</t>
        </is>
      </c>
      <c r="C47" s="8" t="inlineStr">
        <is>
          <t>HKW1(13)</t>
        </is>
      </c>
      <c r="D47" s="9" t="n">
        <v>-16</v>
      </c>
      <c r="E47" s="10" t="n">
        <v>0.4482758620689655</v>
      </c>
    </row>
    <row r="48" ht="20" customHeight="1">
      <c r="A48" s="16" t="inlineStr">
        <is>
          <t>HANAMKONDA</t>
        </is>
      </c>
      <c r="B48" s="12" t="inlineStr">
        <is>
          <t>HKM2(14)</t>
        </is>
      </c>
      <c r="C48" s="12" t="inlineStr">
        <is>
          <t>HKM2(24)</t>
        </is>
      </c>
      <c r="D48" s="13" t="n">
        <v>10</v>
      </c>
      <c r="E48" s="14" t="n">
        <v>0.5833333333333334</v>
      </c>
    </row>
    <row r="49" ht="20" customHeight="1">
      <c r="A49" s="7" t="inlineStr">
        <is>
          <t>PARKAL</t>
        </is>
      </c>
      <c r="B49" s="8" t="inlineStr">
        <is>
          <t>GM03(13)</t>
        </is>
      </c>
      <c r="C49" s="8" t="inlineStr">
        <is>
          <t>GM03(23)</t>
        </is>
      </c>
      <c r="D49" s="9" t="n">
        <v>10</v>
      </c>
      <c r="E49" s="10" t="n">
        <v>0.5652173913043478</v>
      </c>
    </row>
    <row r="50" ht="20" customHeight="1">
      <c r="A50" s="16" t="inlineStr">
        <is>
          <t>PARKAL</t>
        </is>
      </c>
      <c r="B50" s="12" t="inlineStr">
        <is>
          <t>NP02(13)</t>
        </is>
      </c>
      <c r="C50" s="12" t="inlineStr">
        <is>
          <t>NP02(23)</t>
        </is>
      </c>
      <c r="D50" s="13" t="n">
        <v>10</v>
      </c>
      <c r="E50" s="14" t="n">
        <v>0.5652173913043478</v>
      </c>
    </row>
    <row r="51" ht="20" customHeight="1">
      <c r="A51" s="7" t="inlineStr">
        <is>
          <t>HANAMKONDA</t>
        </is>
      </c>
      <c r="B51" s="8" t="inlineStr">
        <is>
          <t>60C2(13)</t>
        </is>
      </c>
      <c r="C51" s="8" t="inlineStr">
        <is>
          <t>60C2(22)</t>
        </is>
      </c>
      <c r="D51" s="9" t="n">
        <v>9</v>
      </c>
      <c r="E51" s="10" t="n">
        <v>0.5909090909090909</v>
      </c>
    </row>
    <row r="52" ht="20" customHeight="1">
      <c r="A52" s="16" t="inlineStr">
        <is>
          <t>HANAMKONDA</t>
        </is>
      </c>
      <c r="B52" s="12" t="inlineStr">
        <is>
          <t>60C1(5)</t>
        </is>
      </c>
      <c r="C52" s="12" t="inlineStr">
        <is>
          <t>60C1(21)</t>
        </is>
      </c>
      <c r="D52" s="13" t="n">
        <v>16</v>
      </c>
      <c r="E52" s="14" t="n">
        <v>0.2380952380952381</v>
      </c>
    </row>
    <row r="53" ht="20" customHeight="1">
      <c r="A53" s="7" t="inlineStr">
        <is>
          <t>NARSAMPET</t>
        </is>
      </c>
      <c r="B53" s="8" t="inlineStr">
        <is>
          <t>ING2(11)</t>
        </is>
      </c>
      <c r="C53" s="8" t="inlineStr">
        <is>
          <t>ING2(20)</t>
        </is>
      </c>
      <c r="D53" s="9" t="n">
        <v>9</v>
      </c>
      <c r="E53" s="10" t="n">
        <v>0.55</v>
      </c>
    </row>
    <row r="54" ht="20" customHeight="1">
      <c r="A54" s="16" t="inlineStr">
        <is>
          <t>HANAMKONDA</t>
        </is>
      </c>
      <c r="B54" s="12" t="inlineStr">
        <is>
          <t>59C2(4)</t>
        </is>
      </c>
      <c r="C54" s="12" t="inlineStr">
        <is>
          <t>59C2(20)</t>
        </is>
      </c>
      <c r="D54" s="13" t="n">
        <v>16</v>
      </c>
      <c r="E54" s="14" t="n">
        <v>0.2</v>
      </c>
    </row>
    <row r="55" ht="20" customHeight="1">
      <c r="A55" s="7" t="inlineStr">
        <is>
          <t>HANAMKONDA</t>
        </is>
      </c>
      <c r="B55" s="8" t="inlineStr">
        <is>
          <t>59C1(2)</t>
        </is>
      </c>
      <c r="C55" s="8" t="inlineStr">
        <is>
          <t>59C1(18)</t>
        </is>
      </c>
      <c r="D55" s="9" t="n">
        <v>16</v>
      </c>
      <c r="E55" s="10" t="n">
        <v>0.1111111111111111</v>
      </c>
    </row>
    <row r="56" ht="20" customHeight="1">
      <c r="A56" s="16" t="inlineStr">
        <is>
          <t>THORROR</t>
        </is>
      </c>
      <c r="B56" s="12" t="inlineStr">
        <is>
          <t>IBK1(17)</t>
        </is>
      </c>
      <c r="C56" s="12" t="inlineStr">
        <is>
          <t>IBK1(15)</t>
        </is>
      </c>
      <c r="D56" s="13" t="n">
        <v>-2</v>
      </c>
      <c r="E56" s="14" t="n">
        <v>0.8823529411764706</v>
      </c>
    </row>
    <row r="57" ht="20" customHeight="1">
      <c r="A57" s="7" t="inlineStr">
        <is>
          <t>JANGAON</t>
        </is>
      </c>
      <c r="B57" s="8" t="inlineStr">
        <is>
          <t>HN13(11)</t>
        </is>
      </c>
      <c r="C57" s="8" t="inlineStr">
        <is>
          <t>HN13(7)</t>
        </is>
      </c>
      <c r="D57" s="9" t="n">
        <v>-4</v>
      </c>
      <c r="E57" s="10" t="n">
        <v>0.6363636363636364</v>
      </c>
    </row>
    <row r="58" ht="20" customHeight="1">
      <c r="A58" s="16" t="inlineStr">
        <is>
          <t>WARANGAL-I</t>
        </is>
      </c>
      <c r="B58" s="12" t="inlineStr">
        <is>
          <t>KRS1(11)</t>
        </is>
      </c>
      <c r="C58" s="12" t="inlineStr">
        <is>
          <t>KRS1(4)</t>
        </is>
      </c>
      <c r="D58" s="13" t="n">
        <v>-7</v>
      </c>
      <c r="E58" s="14" t="n">
        <v>0.3636363636363636</v>
      </c>
    </row>
    <row r="59" ht="20" customHeight="1">
      <c r="A59" s="7" t="inlineStr">
        <is>
          <t>HANAMKONDA</t>
        </is>
      </c>
      <c r="B59" s="8" t="inlineStr">
        <is>
          <t>DPV1(6)</t>
        </is>
      </c>
      <c r="C59" s="8" t="inlineStr">
        <is>
          <t>DPV1(11)</t>
        </is>
      </c>
      <c r="D59" s="9" t="n">
        <v>5</v>
      </c>
      <c r="E59" s="10" t="n">
        <v>0.5454545454545454</v>
      </c>
    </row>
    <row r="60" ht="20" customHeight="1">
      <c r="A60" s="16" t="inlineStr">
        <is>
          <t>MAHABOOBABAD</t>
        </is>
      </c>
      <c r="B60" s="12" t="inlineStr">
        <is>
          <t>EY04(1)</t>
        </is>
      </c>
      <c r="C60" s="12" t="inlineStr">
        <is>
          <t>EY04(10)</t>
        </is>
      </c>
      <c r="D60" s="13" t="n">
        <v>9</v>
      </c>
      <c r="E60" s="14" t="n">
        <v>0.1</v>
      </c>
    </row>
    <row r="61" ht="20" customHeight="1">
      <c r="A61" s="7" t="inlineStr">
        <is>
          <t>MAHABOOBABAD</t>
        </is>
      </c>
      <c r="B61" s="8" t="inlineStr">
        <is>
          <t>BDB2(9)</t>
        </is>
      </c>
      <c r="C61" s="8" t="inlineStr">
        <is>
          <t>BDB2(9)</t>
        </is>
      </c>
      <c r="D61" s="9" t="n">
        <v>0</v>
      </c>
      <c r="E61" s="10" t="n">
        <v>1</v>
      </c>
    </row>
    <row r="62" ht="20" customHeight="1">
      <c r="A62" s="16" t="inlineStr">
        <is>
          <t>MAHABOOBABAD</t>
        </is>
      </c>
      <c r="B62" s="12" t="inlineStr">
        <is>
          <t>BDB1(2)</t>
        </is>
      </c>
      <c r="C62" s="12" t="inlineStr">
        <is>
          <t>BDB1(9)</t>
        </is>
      </c>
      <c r="D62" s="13" t="n">
        <v>7</v>
      </c>
      <c r="E62" s="14" t="n">
        <v>0.2222222222222222</v>
      </c>
    </row>
    <row r="63" ht="20" customHeight="1">
      <c r="A63" s="7" t="inlineStr">
        <is>
          <t>JANGAON</t>
        </is>
      </c>
      <c r="B63" s="8" t="inlineStr">
        <is>
          <t>W193(1)</t>
        </is>
      </c>
      <c r="C63" s="8" t="inlineStr">
        <is>
          <t>W193(9)</t>
        </is>
      </c>
      <c r="D63" s="9" t="n">
        <v>8</v>
      </c>
      <c r="E63" s="10" t="n">
        <v>0.1111111111111111</v>
      </c>
    </row>
    <row r="64" ht="20" customHeight="1">
      <c r="A64" s="16" t="inlineStr">
        <is>
          <t>HANAMKONDA</t>
        </is>
      </c>
      <c r="B64" s="12" t="inlineStr">
        <is>
          <t>KNV1(5)</t>
        </is>
      </c>
      <c r="C64" s="12" t="inlineStr">
        <is>
          <t>KNV1(8)</t>
        </is>
      </c>
      <c r="D64" s="13" t="n">
        <v>3</v>
      </c>
      <c r="E64" s="14" t="n">
        <v>0.625</v>
      </c>
    </row>
    <row r="65" ht="20" customHeight="1">
      <c r="A65" s="7" t="inlineStr">
        <is>
          <t>PARKAL</t>
        </is>
      </c>
      <c r="B65" s="8" t="inlineStr">
        <is>
          <t>LKV1(5)</t>
        </is>
      </c>
      <c r="C65" s="8" t="inlineStr">
        <is>
          <t>LKV1(8)</t>
        </is>
      </c>
      <c r="D65" s="9" t="n">
        <v>3</v>
      </c>
      <c r="E65" s="10" t="n">
        <v>0.625</v>
      </c>
    </row>
    <row r="66" ht="20" customHeight="1">
      <c r="A66" s="16" t="inlineStr">
        <is>
          <t>WARANGAL-I</t>
        </is>
      </c>
      <c r="B66" s="12" t="inlineStr">
        <is>
          <t>KSO1(2)</t>
        </is>
      </c>
      <c r="C66" s="12" t="inlineStr">
        <is>
          <t>KSO1(8)</t>
        </is>
      </c>
      <c r="D66" s="13" t="n">
        <v>6</v>
      </c>
      <c r="E66" s="14" t="n">
        <v>0.25</v>
      </c>
    </row>
    <row r="67" ht="20" customHeight="1">
      <c r="A67" s="7" t="inlineStr">
        <is>
          <t>HANAMKONDA</t>
        </is>
      </c>
      <c r="B67" s="8" t="inlineStr">
        <is>
          <t>4JM2(1)</t>
        </is>
      </c>
      <c r="C67" s="8" t="inlineStr">
        <is>
          <t>4JM2(8)</t>
        </is>
      </c>
      <c r="D67" s="9" t="n">
        <v>7</v>
      </c>
      <c r="E67" s="10" t="n">
        <v>0.125</v>
      </c>
    </row>
    <row r="68" ht="20" customHeight="1">
      <c r="A68" s="16" t="inlineStr">
        <is>
          <t>JANGAON</t>
        </is>
      </c>
      <c r="B68" s="12" t="inlineStr">
        <is>
          <t>JSB1(1)</t>
        </is>
      </c>
      <c r="C68" s="12" t="inlineStr">
        <is>
          <t>JSB1(8)</t>
        </is>
      </c>
      <c r="D68" s="13" t="n">
        <v>7</v>
      </c>
      <c r="E68" s="14" t="n">
        <v>0.125</v>
      </c>
    </row>
    <row r="69" ht="20" customHeight="1">
      <c r="A69" s="7" t="inlineStr">
        <is>
          <t>MAHABOOBABAD</t>
        </is>
      </c>
      <c r="B69" s="8" t="inlineStr">
        <is>
          <t>GUM1(1)</t>
        </is>
      </c>
      <c r="C69" s="8" t="inlineStr">
        <is>
          <t>GUM1(3)</t>
        </is>
      </c>
      <c r="D69" s="9" t="n">
        <v>2</v>
      </c>
      <c r="E69" s="10" t="n">
        <v>0.3333333333333333</v>
      </c>
    </row>
    <row r="72">
      <c r="A72" s="3" t="inlineStr">
        <is>
          <t>FORMAT 2B: TOP 25 HIGHEST OVERALL REGIONAL CUT SERVICES (ALL DEPOTS)</t>
        </is>
      </c>
    </row>
    <row r="73" ht="24" customHeight="1">
      <c r="A73" s="20" t="inlineStr">
        <is>
          <t>depot</t>
        </is>
      </c>
      <c r="B73" s="21" t="inlineStr">
        <is>
          <t>predicted cut</t>
        </is>
      </c>
      <c r="C73" s="21" t="inlineStr">
        <is>
          <t>actual cut</t>
        </is>
      </c>
      <c r="D73" s="22" t="inlineStr">
        <is>
          <t>Difference (Act - Pred)</t>
        </is>
      </c>
      <c r="E73" s="20" t="inlineStr">
        <is>
          <t>Operational Category</t>
        </is>
      </c>
    </row>
    <row r="74" ht="20" customHeight="1">
      <c r="A74" s="7" t="inlineStr">
        <is>
          <t>JANGAON</t>
        </is>
      </c>
      <c r="B74" s="8" t="inlineStr">
        <is>
          <t>H001(0)</t>
        </is>
      </c>
      <c r="C74" s="8" t="inlineStr">
        <is>
          <t>H001(29)</t>
        </is>
      </c>
      <c r="D74" s="9" t="n">
        <v>29</v>
      </c>
      <c r="E74" s="15" t="inlineStr">
        <is>
          <t>Depot Operational Cut (Unpredicted)</t>
        </is>
      </c>
    </row>
    <row r="75" ht="20" customHeight="1">
      <c r="A75" s="16" t="inlineStr">
        <is>
          <t>JANGAON</t>
        </is>
      </c>
      <c r="B75" s="12" t="inlineStr">
        <is>
          <t>B013(0)</t>
        </is>
      </c>
      <c r="C75" s="12" t="inlineStr">
        <is>
          <t>B013(28)</t>
        </is>
      </c>
      <c r="D75" s="13" t="n">
        <v>28</v>
      </c>
      <c r="E75" s="11" t="inlineStr">
        <is>
          <t>Depot Operational Cut (Unpredicted)</t>
        </is>
      </c>
    </row>
    <row r="76" ht="20" customHeight="1">
      <c r="A76" s="7" t="inlineStr">
        <is>
          <t>MAHABOOBABAD</t>
        </is>
      </c>
      <c r="B76" s="8" t="inlineStr">
        <is>
          <t>KM20(0)</t>
        </is>
      </c>
      <c r="C76" s="8" t="inlineStr">
        <is>
          <t>KM20(28)</t>
        </is>
      </c>
      <c r="D76" s="9" t="n">
        <v>28</v>
      </c>
      <c r="E76" s="15" t="inlineStr">
        <is>
          <t>Depot Operational Cut (Unpredicted)</t>
        </is>
      </c>
    </row>
    <row r="77" ht="20" customHeight="1">
      <c r="A77" s="16" t="inlineStr">
        <is>
          <t>WARANGAL-I</t>
        </is>
      </c>
      <c r="B77" s="12" t="inlineStr">
        <is>
          <t>MDR1(0)</t>
        </is>
      </c>
      <c r="C77" s="12" t="inlineStr">
        <is>
          <t>MDR1(28)</t>
        </is>
      </c>
      <c r="D77" s="13" t="n">
        <v>28</v>
      </c>
      <c r="E77" s="11" t="inlineStr">
        <is>
          <t>Depot Operational Cut (Unpredicted)</t>
        </is>
      </c>
    </row>
    <row r="78" ht="20" customHeight="1">
      <c r="A78" s="7" t="inlineStr">
        <is>
          <t>WARANGAL-I</t>
        </is>
      </c>
      <c r="B78" s="8" t="inlineStr">
        <is>
          <t>ENR1(0)</t>
        </is>
      </c>
      <c r="C78" s="8" t="inlineStr">
        <is>
          <t>ENR1(27)</t>
        </is>
      </c>
      <c r="D78" s="9" t="n">
        <v>27</v>
      </c>
      <c r="E78" s="15" t="inlineStr">
        <is>
          <t>Depot Operational Cut (Unpredicted)</t>
        </is>
      </c>
    </row>
    <row r="79" ht="20" customHeight="1">
      <c r="A79" s="16" t="inlineStr">
        <is>
          <t>WARANGAL-I</t>
        </is>
      </c>
      <c r="B79" s="12" t="inlineStr">
        <is>
          <t>MDR2(0)</t>
        </is>
      </c>
      <c r="C79" s="12" t="inlineStr">
        <is>
          <t>MDR2(27)</t>
        </is>
      </c>
      <c r="D79" s="13" t="n">
        <v>27</v>
      </c>
      <c r="E79" s="11" t="inlineStr">
        <is>
          <t>Depot Operational Cut (Unpredicted)</t>
        </is>
      </c>
    </row>
    <row r="80" ht="20" customHeight="1">
      <c r="A80" s="7" t="inlineStr">
        <is>
          <t>WARANGAL-I</t>
        </is>
      </c>
      <c r="B80" s="8" t="inlineStr">
        <is>
          <t>PLO3(0)</t>
        </is>
      </c>
      <c r="C80" s="8" t="inlineStr">
        <is>
          <t>PLO3(27)</t>
        </is>
      </c>
      <c r="D80" s="9" t="n">
        <v>27</v>
      </c>
      <c r="E80" s="15" t="inlineStr">
        <is>
          <t>Depot Operational Cut (Unpredicted)</t>
        </is>
      </c>
    </row>
    <row r="81" ht="20" customHeight="1">
      <c r="A81" s="16" t="inlineStr">
        <is>
          <t>WARANGAL-II</t>
        </is>
      </c>
      <c r="B81" s="12" t="inlineStr">
        <is>
          <t>EK02(0)</t>
        </is>
      </c>
      <c r="C81" s="12" t="inlineStr">
        <is>
          <t>EK02(27)</t>
        </is>
      </c>
      <c r="D81" s="13" t="n">
        <v>27</v>
      </c>
      <c r="E81" s="11" t="inlineStr">
        <is>
          <t>Depot Operational Cut (Unpredicted)</t>
        </is>
      </c>
    </row>
    <row r="82" ht="20" customHeight="1">
      <c r="A82" s="7" t="inlineStr">
        <is>
          <t>WARANGAL-II</t>
        </is>
      </c>
      <c r="B82" s="8" t="inlineStr">
        <is>
          <t>EK07(0)</t>
        </is>
      </c>
      <c r="C82" s="8" t="inlineStr">
        <is>
          <t>EK07(27)</t>
        </is>
      </c>
      <c r="D82" s="9" t="n">
        <v>27</v>
      </c>
      <c r="E82" s="15" t="inlineStr">
        <is>
          <t>Depot Operational Cut (Unpredicted)</t>
        </is>
      </c>
    </row>
    <row r="83" ht="20" customHeight="1">
      <c r="A83" s="16" t="inlineStr">
        <is>
          <t>WARANGAL-II</t>
        </is>
      </c>
      <c r="B83" s="12" t="inlineStr">
        <is>
          <t>EK08(0)</t>
        </is>
      </c>
      <c r="C83" s="12" t="inlineStr">
        <is>
          <t>EK08(25)</t>
        </is>
      </c>
      <c r="D83" s="13" t="n">
        <v>25</v>
      </c>
      <c r="E83" s="11" t="inlineStr">
        <is>
          <t>Depot Operational Cut (Unpredicted)</t>
        </is>
      </c>
    </row>
    <row r="84" ht="20" customHeight="1">
      <c r="A84" s="7" t="inlineStr">
        <is>
          <t>HANAMKONDA</t>
        </is>
      </c>
      <c r="B84" s="8" t="inlineStr">
        <is>
          <t>HKM2(14)</t>
        </is>
      </c>
      <c r="C84" s="8" t="inlineStr">
        <is>
          <t>HKM2(24)</t>
        </is>
      </c>
      <c r="D84" s="9" t="n">
        <v>10</v>
      </c>
      <c r="E84" s="15" t="inlineStr">
        <is>
          <t>AI Predicted &amp; Cut</t>
        </is>
      </c>
    </row>
    <row r="85" ht="20" customHeight="1">
      <c r="A85" s="16" t="inlineStr">
        <is>
          <t>BHUPALAPALLAY</t>
        </is>
      </c>
      <c r="B85" s="12" t="inlineStr">
        <is>
          <t>HKL5(0)</t>
        </is>
      </c>
      <c r="C85" s="12" t="inlineStr">
        <is>
          <t>HKL5(24)</t>
        </is>
      </c>
      <c r="D85" s="13" t="n">
        <v>24</v>
      </c>
      <c r="E85" s="11" t="inlineStr">
        <is>
          <t>Depot Operational Cut (Unpredicted)</t>
        </is>
      </c>
    </row>
    <row r="86" ht="20" customHeight="1">
      <c r="A86" s="7" t="inlineStr">
        <is>
          <t>PARKAL</t>
        </is>
      </c>
      <c r="B86" s="8" t="inlineStr">
        <is>
          <t>GM03(13)</t>
        </is>
      </c>
      <c r="C86" s="8" t="inlineStr">
        <is>
          <t>GM03(23)</t>
        </is>
      </c>
      <c r="D86" s="9" t="n">
        <v>10</v>
      </c>
      <c r="E86" s="15" t="inlineStr">
        <is>
          <t>AI Predicted &amp; Cut</t>
        </is>
      </c>
    </row>
    <row r="87" ht="20" customHeight="1">
      <c r="A87" s="16" t="inlineStr">
        <is>
          <t>PARKAL</t>
        </is>
      </c>
      <c r="B87" s="12" t="inlineStr">
        <is>
          <t>NP02(13)</t>
        </is>
      </c>
      <c r="C87" s="12" t="inlineStr">
        <is>
          <t>NP02(23)</t>
        </is>
      </c>
      <c r="D87" s="13" t="n">
        <v>10</v>
      </c>
      <c r="E87" s="11" t="inlineStr">
        <is>
          <t>AI Predicted &amp; Cut</t>
        </is>
      </c>
    </row>
    <row r="88" ht="20" customHeight="1">
      <c r="A88" s="7" t="inlineStr">
        <is>
          <t>HANAMKONDA</t>
        </is>
      </c>
      <c r="B88" s="8" t="inlineStr">
        <is>
          <t>HKM3(0)</t>
        </is>
      </c>
      <c r="C88" s="8" t="inlineStr">
        <is>
          <t>HKM3(23)</t>
        </is>
      </c>
      <c r="D88" s="9" t="n">
        <v>23</v>
      </c>
      <c r="E88" s="15" t="inlineStr">
        <is>
          <t>Depot Operational Cut (Unpredicted)</t>
        </is>
      </c>
    </row>
    <row r="89" ht="20" customHeight="1">
      <c r="A89" s="16" t="inlineStr">
        <is>
          <t>HANAMKONDA</t>
        </is>
      </c>
      <c r="B89" s="12" t="inlineStr">
        <is>
          <t>HKM5(0)</t>
        </is>
      </c>
      <c r="C89" s="12" t="inlineStr">
        <is>
          <t>HKM5(23)</t>
        </is>
      </c>
      <c r="D89" s="13" t="n">
        <v>23</v>
      </c>
      <c r="E89" s="11" t="inlineStr">
        <is>
          <t>Depot Operational Cut (Unpredicted)</t>
        </is>
      </c>
    </row>
    <row r="90" ht="20" customHeight="1">
      <c r="A90" s="7" t="inlineStr">
        <is>
          <t>JANGAON</t>
        </is>
      </c>
      <c r="B90" s="8" t="inlineStr">
        <is>
          <t>B059(0)</t>
        </is>
      </c>
      <c r="C90" s="8" t="inlineStr">
        <is>
          <t>B059(23)</t>
        </is>
      </c>
      <c r="D90" s="9" t="n">
        <v>23</v>
      </c>
      <c r="E90" s="15" t="inlineStr">
        <is>
          <t>Depot Operational Cut (Unpredicted)</t>
        </is>
      </c>
    </row>
    <row r="91" ht="20" customHeight="1">
      <c r="A91" s="16" t="inlineStr">
        <is>
          <t>HANAMKONDA</t>
        </is>
      </c>
      <c r="B91" s="12" t="inlineStr">
        <is>
          <t>60C2(13)</t>
        </is>
      </c>
      <c r="C91" s="12" t="inlineStr">
        <is>
          <t>60C2(22)</t>
        </is>
      </c>
      <c r="D91" s="13" t="n">
        <v>9</v>
      </c>
      <c r="E91" s="11" t="inlineStr">
        <is>
          <t>AI Predicted &amp; Cut</t>
        </is>
      </c>
    </row>
    <row r="92" ht="20" customHeight="1">
      <c r="A92" s="7" t="inlineStr">
        <is>
          <t>MAHABOOBABAD</t>
        </is>
      </c>
      <c r="B92" s="8" t="inlineStr">
        <is>
          <t>BPL1(0)</t>
        </is>
      </c>
      <c r="C92" s="8" t="inlineStr">
        <is>
          <t>BPL1(22)</t>
        </is>
      </c>
      <c r="D92" s="9" t="n">
        <v>22</v>
      </c>
      <c r="E92" s="15" t="inlineStr">
        <is>
          <t>Depot Operational Cut (Unpredicted)</t>
        </is>
      </c>
    </row>
    <row r="93" ht="20" customHeight="1">
      <c r="A93" s="16" t="inlineStr">
        <is>
          <t>WARANGAL-I</t>
        </is>
      </c>
      <c r="B93" s="12" t="inlineStr">
        <is>
          <t>HTN1(0)</t>
        </is>
      </c>
      <c r="C93" s="12" t="inlineStr">
        <is>
          <t>HTN1(22)</t>
        </is>
      </c>
      <c r="D93" s="13" t="n">
        <v>22</v>
      </c>
      <c r="E93" s="11" t="inlineStr">
        <is>
          <t>Depot Operational Cut (Unpredicted)</t>
        </is>
      </c>
    </row>
    <row r="94" ht="20" customHeight="1">
      <c r="A94" s="7" t="inlineStr">
        <is>
          <t>WARANGAL-I</t>
        </is>
      </c>
      <c r="B94" s="8" t="inlineStr">
        <is>
          <t>PSR1(0)</t>
        </is>
      </c>
      <c r="C94" s="8" t="inlineStr">
        <is>
          <t>PSR1(22)</t>
        </is>
      </c>
      <c r="D94" s="9" t="n">
        <v>22</v>
      </c>
      <c r="E94" s="15" t="inlineStr">
        <is>
          <t>Depot Operational Cut (Unpredicted)</t>
        </is>
      </c>
    </row>
    <row r="95" ht="20" customHeight="1">
      <c r="A95" s="16" t="inlineStr">
        <is>
          <t>WARANGAL-I</t>
        </is>
      </c>
      <c r="B95" s="12" t="inlineStr">
        <is>
          <t>SD18(0)</t>
        </is>
      </c>
      <c r="C95" s="12" t="inlineStr">
        <is>
          <t>SD18(22)</t>
        </is>
      </c>
      <c r="D95" s="13" t="n">
        <v>22</v>
      </c>
      <c r="E95" s="11" t="inlineStr">
        <is>
          <t>Depot Operational Cut (Unpredicted)</t>
        </is>
      </c>
    </row>
    <row r="96" ht="20" customHeight="1">
      <c r="A96" s="7" t="inlineStr">
        <is>
          <t>WARANGAL-II</t>
        </is>
      </c>
      <c r="B96" s="8" t="inlineStr">
        <is>
          <t>ED17(0)</t>
        </is>
      </c>
      <c r="C96" s="8" t="inlineStr">
        <is>
          <t>ED17(22)</t>
        </is>
      </c>
      <c r="D96" s="9" t="n">
        <v>22</v>
      </c>
      <c r="E96" s="15" t="inlineStr">
        <is>
          <t>Depot Operational Cut (Unpredicted)</t>
        </is>
      </c>
    </row>
    <row r="97" ht="20" customHeight="1">
      <c r="A97" s="16" t="inlineStr">
        <is>
          <t>HANAMKONDA</t>
        </is>
      </c>
      <c r="B97" s="12" t="inlineStr">
        <is>
          <t>60C1(5)</t>
        </is>
      </c>
      <c r="C97" s="12" t="inlineStr">
        <is>
          <t>60C1(21)</t>
        </is>
      </c>
      <c r="D97" s="13" t="n">
        <v>16</v>
      </c>
      <c r="E97" s="11" t="inlineStr">
        <is>
          <t>AI Predicted &amp; Cut</t>
        </is>
      </c>
    </row>
    <row r="98" ht="20" customHeight="1">
      <c r="A98" s="7" t="inlineStr">
        <is>
          <t>BHUPALAPALLAY</t>
        </is>
      </c>
      <c r="B98" s="8" t="inlineStr">
        <is>
          <t>HNK7(0)</t>
        </is>
      </c>
      <c r="C98" s="8" t="inlineStr">
        <is>
          <t>HNK7(21)</t>
        </is>
      </c>
      <c r="D98" s="9" t="n">
        <v>21</v>
      </c>
      <c r="E98" s="15" t="inlineStr">
        <is>
          <t>Depot Operational Cut (Unpredicted)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20" customWidth="1" min="4" max="4"/>
    <col width="26" customWidth="1" min="5" max="5"/>
    <col width="32" customWidth="1" min="6" max="6"/>
    <col width="24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1" t="inlineStr">
        <is>
          <t>EXECUTIVE SUMMARY: DEPOT PREDICTED VS ACTUAL SERVICE CUT REPORT</t>
        </is>
      </c>
    </row>
    <row r="2" ht="20" customHeight="1">
      <c r="A2" s="2" t="inlineStr">
        <is>
          <t>Worksheet: warangal_cut_services_analysis.xlsx  |  Completed Window: 29 Days  |  Excluded Pending Dates: 2026-10-04  |  Generated: 2026-10-27 11:40:50</t>
        </is>
      </c>
    </row>
    <row r="4">
      <c r="A4" s="3" t="inlineStr">
        <is>
          <t>DELIVERABLE 1: OVERALL DEPOT-WISE CUT SUMMARY (Live Formulas Linked to Depot Sheets)</t>
        </is>
      </c>
    </row>
    <row r="5" ht="24" customHeight="1">
      <c r="A5" s="4" t="inlineStr">
        <is>
          <t>Depot Name</t>
        </is>
      </c>
      <c r="B5" s="6" t="inlineStr">
        <is>
          <t>Completed Days</t>
        </is>
      </c>
      <c r="C5" s="6" t="inlineStr">
        <is>
          <t>Total Predicted Cuts</t>
        </is>
      </c>
      <c r="D5" s="6" t="inlineStr">
        <is>
          <t>Total Actual Cuts</t>
        </is>
      </c>
      <c r="E5" s="6" t="inlineStr">
        <is>
          <t>Difference (Actual - Predicted)</t>
        </is>
      </c>
      <c r="F5" s="4" t="inlineStr">
        <is>
          <t>Prediction Tracking Note</t>
        </is>
      </c>
    </row>
    <row r="6" ht="19" customHeight="1">
      <c r="A6" s="16" t="inlineStr">
        <is>
          <t>BHUPALAPALLAY</t>
        </is>
      </c>
      <c r="B6" s="23" t="n">
        <v>29</v>
      </c>
      <c r="C6" s="24">
        <f>'BHUPALAPALLAY'!B46</f>
        <v/>
      </c>
      <c r="D6" s="24">
        <f>'BHUPALAPALLAY'!C46</f>
        <v/>
      </c>
      <c r="E6" s="13">
        <f>D6-C6</f>
        <v/>
      </c>
      <c r="F6" s="11" t="inlineStr">
        <is>
          <t>Zero AI predictions (Operational cuts only)</t>
        </is>
      </c>
    </row>
    <row r="7" ht="19" customHeight="1">
      <c r="A7" s="7" t="inlineStr">
        <is>
          <t>HANAMKONDA</t>
        </is>
      </c>
      <c r="B7" s="25" t="n">
        <v>29</v>
      </c>
      <c r="C7" s="26">
        <f>'HANAMKONDA'!B103</f>
        <v/>
      </c>
      <c r="D7" s="26">
        <f>'HANAMKONDA'!C103</f>
        <v/>
      </c>
      <c r="E7" s="9">
        <f>D7-C7</f>
        <v/>
      </c>
      <c r="F7" s="15" t="inlineStr">
        <is>
          <t>High depot operational cuts beyond AI schedule</t>
        </is>
      </c>
    </row>
    <row r="8" ht="19" customHeight="1">
      <c r="A8" s="16" t="inlineStr">
        <is>
          <t>JANGAON</t>
        </is>
      </c>
      <c r="B8" s="23" t="n">
        <v>29</v>
      </c>
      <c r="C8" s="24">
        <f>'JANGAON'!B59</f>
        <v/>
      </c>
      <c r="D8" s="24">
        <f>'JANGAON'!C59</f>
        <v/>
      </c>
      <c r="E8" s="13">
        <f>D8-C8</f>
        <v/>
      </c>
      <c r="F8" s="11" t="inlineStr">
        <is>
          <t>Standard AI predictions</t>
        </is>
      </c>
    </row>
    <row r="9" ht="19" customHeight="1">
      <c r="A9" s="7" t="inlineStr">
        <is>
          <t>MAHABOOBABAD</t>
        </is>
      </c>
      <c r="B9" s="25" t="n">
        <v>29</v>
      </c>
      <c r="C9" s="26">
        <f>'MAHABOOBABAD'!B37</f>
        <v/>
      </c>
      <c r="D9" s="26">
        <f>'MAHABOOBABAD'!C37</f>
        <v/>
      </c>
      <c r="E9" s="9">
        <f>D9-C9</f>
        <v/>
      </c>
      <c r="F9" s="15" t="inlineStr">
        <is>
          <t>Standard AI predictions</t>
        </is>
      </c>
    </row>
    <row r="10" ht="19" customHeight="1">
      <c r="A10" s="16" t="inlineStr">
        <is>
          <t>NARSAMPET</t>
        </is>
      </c>
      <c r="B10" s="23" t="n">
        <v>29</v>
      </c>
      <c r="C10" s="24">
        <f>'NARSAMPET'!B41</f>
        <v/>
      </c>
      <c r="D10" s="24">
        <f>'NARSAMPET'!C41</f>
        <v/>
      </c>
      <c r="E10" s="13">
        <f>D10-C10</f>
        <v/>
      </c>
      <c r="F10" s="11" t="inlineStr">
        <is>
          <t>Standard AI predictions</t>
        </is>
      </c>
    </row>
    <row r="11" ht="19" customHeight="1">
      <c r="A11" s="7" t="inlineStr">
        <is>
          <t>PARKAL</t>
        </is>
      </c>
      <c r="B11" s="25" t="n">
        <v>29</v>
      </c>
      <c r="C11" s="26">
        <f>'PARKAL'!B42</f>
        <v/>
      </c>
      <c r="D11" s="26">
        <f>'PARKAL'!C42</f>
        <v/>
      </c>
      <c r="E11" s="9">
        <f>D11-C11</f>
        <v/>
      </c>
      <c r="F11" s="15" t="inlineStr">
        <is>
          <t>Standard AI predictions</t>
        </is>
      </c>
    </row>
    <row r="12" ht="19" customHeight="1">
      <c r="A12" s="16" t="inlineStr">
        <is>
          <t>THORROR</t>
        </is>
      </c>
      <c r="B12" s="23" t="n">
        <v>29</v>
      </c>
      <c r="C12" s="24">
        <f>'THORROR'!B46</f>
        <v/>
      </c>
      <c r="D12" s="24">
        <f>'THORROR'!C46</f>
        <v/>
      </c>
      <c r="E12" s="13">
        <f>D12-C12</f>
        <v/>
      </c>
      <c r="F12" s="11" t="inlineStr">
        <is>
          <t>Standard AI predictions</t>
        </is>
      </c>
    </row>
    <row r="13" ht="19" customHeight="1">
      <c r="A13" s="7" t="inlineStr">
        <is>
          <t>WARANGAL-I</t>
        </is>
      </c>
      <c r="B13" s="25" t="n">
        <v>29</v>
      </c>
      <c r="C13" s="26">
        <f>'WARANGAL-I'!B116</f>
        <v/>
      </c>
      <c r="D13" s="26">
        <f>'WARANGAL-I'!C116</f>
        <v/>
      </c>
      <c r="E13" s="9">
        <f>D13-C13</f>
        <v/>
      </c>
      <c r="F13" s="15" t="inlineStr">
        <is>
          <t>High depot operational cuts beyond AI schedule</t>
        </is>
      </c>
    </row>
    <row r="14" ht="19" customHeight="1">
      <c r="A14" s="16" t="inlineStr">
        <is>
          <t>WARANGAL-II</t>
        </is>
      </c>
      <c r="B14" s="23" t="n">
        <v>29</v>
      </c>
      <c r="C14" s="24">
        <f>'WARANGAL-II'!B67</f>
        <v/>
      </c>
      <c r="D14" s="24">
        <f>'WARANGAL-II'!C67</f>
        <v/>
      </c>
      <c r="E14" s="13">
        <f>D14-C14</f>
        <v/>
      </c>
      <c r="F14" s="11" t="inlineStr">
        <is>
          <t>Zero AI predictions (Operational cuts only)</t>
        </is>
      </c>
    </row>
    <row r="15" ht="22" customHeight="1">
      <c r="A15" s="27" t="inlineStr">
        <is>
          <t>Total</t>
        </is>
      </c>
      <c r="B15" s="28">
        <f>AVERAGE(B6:B14)</f>
        <v/>
      </c>
      <c r="C15" s="29">
        <f>SUM(C6:C14)</f>
        <v/>
      </c>
      <c r="D15" s="29">
        <f>SUM(D6:D14)</f>
        <v/>
      </c>
      <c r="E15" s="30">
        <f>D15-C15</f>
        <v/>
      </c>
      <c r="F15" s="27" t="inlineStr">
        <is>
          <t>Consolidated Regional Cuts</t>
        </is>
      </c>
    </row>
    <row r="18">
      <c r="A18" s="3" t="inlineStr">
        <is>
          <t>DELIVERABLE 2: REGULAR CUT SERVICES SUMMARY (Depot Cut on &gt;= 10 Completed Days)</t>
        </is>
      </c>
    </row>
    <row r="19" ht="24" customHeight="1">
      <c r="A19" s="20" t="inlineStr">
        <is>
          <t>Depot Name</t>
        </is>
      </c>
      <c r="B19" s="22" t="inlineStr">
        <is>
          <t>Regular Services Count</t>
        </is>
      </c>
      <c r="C19" s="22" t="inlineStr">
        <is>
          <t>Regular Predicted Cuts</t>
        </is>
      </c>
      <c r="D19" s="22" t="inlineStr">
        <is>
          <t>Regular Actual Cuts</t>
        </is>
      </c>
      <c r="E19" s="22" t="inlineStr">
        <is>
          <t>Difference (Act - Pred)</t>
        </is>
      </c>
      <c r="F19" s="22" t="inlineStr">
        <is>
          <t>Share of All Depot Cuts</t>
        </is>
      </c>
    </row>
    <row r="20" ht="19" customHeight="1">
      <c r="A20" s="16" t="inlineStr">
        <is>
          <t>BHUPALAPALLAY</t>
        </is>
      </c>
      <c r="B20" s="23" t="n">
        <v>4</v>
      </c>
      <c r="C20" s="24">
        <f>'BHUPALAPALLAY'!F9</f>
        <v/>
      </c>
      <c r="D20" s="24">
        <f>'BHUPALAPALLAY'!G9</f>
        <v/>
      </c>
      <c r="E20" s="13">
        <f>D20-C20</f>
        <v/>
      </c>
      <c r="F20" s="14">
        <f>IF(D6&gt;0, D20/D6, 0)</f>
        <v/>
      </c>
    </row>
    <row r="21" ht="19" customHeight="1">
      <c r="A21" s="7" t="inlineStr">
        <is>
          <t>HANAMKONDA</t>
        </is>
      </c>
      <c r="B21" s="25" t="n">
        <v>24</v>
      </c>
      <c r="C21" s="26">
        <f>'HANAMKONDA'!F29</f>
        <v/>
      </c>
      <c r="D21" s="26">
        <f>'HANAMKONDA'!G29</f>
        <v/>
      </c>
      <c r="E21" s="9">
        <f>D21-C21</f>
        <v/>
      </c>
      <c r="F21" s="10">
        <f>IF(D7&gt;0, D21/D7, 0)</f>
        <v/>
      </c>
    </row>
    <row r="22" ht="19" customHeight="1">
      <c r="A22" s="16" t="inlineStr">
        <is>
          <t>JANGAON</t>
        </is>
      </c>
      <c r="B22" s="23" t="n">
        <v>7</v>
      </c>
      <c r="C22" s="24">
        <f>'JANGAON'!F12</f>
        <v/>
      </c>
      <c r="D22" s="24">
        <f>'JANGAON'!G12</f>
        <v/>
      </c>
      <c r="E22" s="13">
        <f>D22-C22</f>
        <v/>
      </c>
      <c r="F22" s="14">
        <f>IF(D8&gt;0, D22/D8, 0)</f>
        <v/>
      </c>
    </row>
    <row r="23" ht="19" customHeight="1">
      <c r="A23" s="7" t="inlineStr">
        <is>
          <t>MAHABOOBABAD</t>
        </is>
      </c>
      <c r="B23" s="25" t="n">
        <v>5</v>
      </c>
      <c r="C23" s="26">
        <f>'MAHABOOBABAD'!F10</f>
        <v/>
      </c>
      <c r="D23" s="26">
        <f>'MAHABOOBABAD'!G10</f>
        <v/>
      </c>
      <c r="E23" s="9">
        <f>D23-C23</f>
        <v/>
      </c>
      <c r="F23" s="10">
        <f>IF(D9&gt;0, D23/D9, 0)</f>
        <v/>
      </c>
    </row>
    <row r="24" ht="19" customHeight="1">
      <c r="A24" s="16" t="inlineStr">
        <is>
          <t>NARSAMPET</t>
        </is>
      </c>
      <c r="B24" s="23" t="n">
        <v>9</v>
      </c>
      <c r="C24" s="24">
        <f>'NARSAMPET'!F14</f>
        <v/>
      </c>
      <c r="D24" s="24">
        <f>'NARSAMPET'!G14</f>
        <v/>
      </c>
      <c r="E24" s="13">
        <f>D24-C24</f>
        <v/>
      </c>
      <c r="F24" s="14">
        <f>IF(D10&gt;0, D24/D10, 0)</f>
        <v/>
      </c>
    </row>
    <row r="25" ht="19" customHeight="1">
      <c r="A25" s="7" t="inlineStr">
        <is>
          <t>PARKAL</t>
        </is>
      </c>
      <c r="B25" s="25" t="n">
        <v>8</v>
      </c>
      <c r="C25" s="26">
        <f>'PARKAL'!F13</f>
        <v/>
      </c>
      <c r="D25" s="26">
        <f>'PARKAL'!G13</f>
        <v/>
      </c>
      <c r="E25" s="9">
        <f>D25-C25</f>
        <v/>
      </c>
      <c r="F25" s="10">
        <f>IF(D11&gt;0, D25/D11, 0)</f>
        <v/>
      </c>
    </row>
    <row r="26" ht="19" customHeight="1">
      <c r="A26" s="16" t="inlineStr">
        <is>
          <t>THORROR</t>
        </is>
      </c>
      <c r="B26" s="23" t="n">
        <v>4</v>
      </c>
      <c r="C26" s="24">
        <f>'THORROR'!F9</f>
        <v/>
      </c>
      <c r="D26" s="24">
        <f>'THORROR'!G9</f>
        <v/>
      </c>
      <c r="E26" s="13">
        <f>D26-C26</f>
        <v/>
      </c>
      <c r="F26" s="14">
        <f>IF(D12&gt;0, D26/D12, 0)</f>
        <v/>
      </c>
    </row>
    <row r="27" ht="19" customHeight="1">
      <c r="A27" s="7" t="inlineStr">
        <is>
          <t>WARANGAL-I</t>
        </is>
      </c>
      <c r="B27" s="25" t="n">
        <v>29</v>
      </c>
      <c r="C27" s="26">
        <f>'WARANGAL-I'!F34</f>
        <v/>
      </c>
      <c r="D27" s="26">
        <f>'WARANGAL-I'!G34</f>
        <v/>
      </c>
      <c r="E27" s="9">
        <f>D27-C27</f>
        <v/>
      </c>
      <c r="F27" s="10">
        <f>IF(D13&gt;0, D27/D13, 0)</f>
        <v/>
      </c>
    </row>
    <row r="28" ht="19" customHeight="1">
      <c r="A28" s="16" t="inlineStr">
        <is>
          <t>WARANGAL-II</t>
        </is>
      </c>
      <c r="B28" s="23" t="n">
        <v>24</v>
      </c>
      <c r="C28" s="24">
        <f>'WARANGAL-II'!F29</f>
        <v/>
      </c>
      <c r="D28" s="24">
        <f>'WARANGAL-II'!G29</f>
        <v/>
      </c>
      <c r="E28" s="13">
        <f>D28-C28</f>
        <v/>
      </c>
      <c r="F28" s="14">
        <f>IF(D14&gt;0, D28/D14, 0)</f>
        <v/>
      </c>
    </row>
    <row r="29" ht="22" customHeight="1">
      <c r="A29" s="27" t="inlineStr">
        <is>
          <t>Total</t>
        </is>
      </c>
      <c r="B29" s="29">
        <f>SUM(B20:B28)</f>
        <v/>
      </c>
      <c r="C29" s="29">
        <f>SUM(C20:C28)</f>
        <v/>
      </c>
      <c r="D29" s="29">
        <f>SUM(D20:D28)</f>
        <v/>
      </c>
      <c r="E29" s="30">
        <f>D29-C29</f>
        <v/>
      </c>
      <c r="F29" s="31">
        <f>IF(D15&gt;0, D29/D15, 0)</f>
        <v/>
      </c>
    </row>
    <row r="32">
      <c r="A32" s="3" t="inlineStr">
        <is>
          <t>DELIVERABLE 3: CLOSE-MATCH PREDICTIONS SUMMARY (Pred &gt;= 5 &amp; Match Ratio &gt;= 70%)</t>
        </is>
      </c>
    </row>
    <row r="33" ht="24" customHeight="1">
      <c r="A33" s="17" t="inlineStr">
        <is>
          <t>Depot Name</t>
        </is>
      </c>
      <c r="B33" s="19" t="inlineStr">
        <is>
          <t>Close-Match Services</t>
        </is>
      </c>
      <c r="C33" s="19" t="inlineStr">
        <is>
          <t>Close-Match Predicted</t>
        </is>
      </c>
      <c r="D33" s="19" t="inlineStr">
        <is>
          <t>Close-Match Actual</t>
        </is>
      </c>
      <c r="E33" s="19" t="inlineStr">
        <is>
          <t>Difference (Act - Pred)</t>
        </is>
      </c>
      <c r="F33" s="19" t="inlineStr">
        <is>
          <t>Overall Match Ratio</t>
        </is>
      </c>
      <c r="G33" s="19" t="inlineStr">
        <is>
          <t>Same-Day Coincident Cuts</t>
        </is>
      </c>
    </row>
    <row r="34" ht="19" customHeight="1">
      <c r="A34" s="16" t="inlineStr">
        <is>
          <t>BHUPALAPALLAY</t>
        </is>
      </c>
      <c r="B34" s="23" t="n">
        <v>0</v>
      </c>
      <c r="C34" s="24" t="n">
        <v>0</v>
      </c>
      <c r="D34" s="24" t="n">
        <v>0</v>
      </c>
      <c r="E34" s="13" t="n">
        <v>0</v>
      </c>
      <c r="F34" s="14" t="n">
        <v>0</v>
      </c>
      <c r="G34" s="24" t="n">
        <v>0</v>
      </c>
    </row>
    <row r="35" ht="19" customHeight="1">
      <c r="A35" s="7" t="inlineStr">
        <is>
          <t>HANAMKONDA</t>
        </is>
      </c>
      <c r="B35" s="25" t="n">
        <v>0</v>
      </c>
      <c r="C35" s="26" t="n">
        <v>0</v>
      </c>
      <c r="D35" s="26" t="n">
        <v>0</v>
      </c>
      <c r="E35" s="9" t="n">
        <v>0</v>
      </c>
      <c r="F35" s="10" t="n">
        <v>0</v>
      </c>
      <c r="G35" s="26" t="n">
        <v>0</v>
      </c>
    </row>
    <row r="36" ht="19" customHeight="1">
      <c r="A36" s="16" t="inlineStr">
        <is>
          <t>JANGAON</t>
        </is>
      </c>
      <c r="B36" s="23" t="n">
        <v>0</v>
      </c>
      <c r="C36" s="24" t="n">
        <v>0</v>
      </c>
      <c r="D36" s="24" t="n">
        <v>0</v>
      </c>
      <c r="E36" s="13" t="n">
        <v>0</v>
      </c>
      <c r="F36" s="14" t="n">
        <v>0</v>
      </c>
      <c r="G36" s="24" t="n">
        <v>0</v>
      </c>
    </row>
    <row r="37" ht="19" customHeight="1">
      <c r="A37" s="7" t="inlineStr">
        <is>
          <t>MAHABOOBABAD</t>
        </is>
      </c>
      <c r="B37" s="25" t="n">
        <v>1</v>
      </c>
      <c r="C37" s="26">
        <f>'MAHABOOBABAD'!K6</f>
        <v/>
      </c>
      <c r="D37" s="26">
        <f>'MAHABOOBABAD'!L6</f>
        <v/>
      </c>
      <c r="E37" s="9">
        <f>D37-C37</f>
        <v/>
      </c>
      <c r="F37" s="10">
        <f>IF(MAX(C37,D37)&gt;0, MIN(C37,D37)/MAX(C37,D37), 0)</f>
        <v/>
      </c>
      <c r="G37" s="26">
        <f>'MAHABOOBABAD'!O6</f>
        <v/>
      </c>
    </row>
    <row r="38" ht="19" customHeight="1">
      <c r="A38" s="16" t="inlineStr">
        <is>
          <t>NARSAMPET</t>
        </is>
      </c>
      <c r="B38" s="23" t="n">
        <v>0</v>
      </c>
      <c r="C38" s="24" t="n">
        <v>0</v>
      </c>
      <c r="D38" s="24" t="n">
        <v>0</v>
      </c>
      <c r="E38" s="13" t="n">
        <v>0</v>
      </c>
      <c r="F38" s="14" t="n">
        <v>0</v>
      </c>
      <c r="G38" s="24" t="n">
        <v>0</v>
      </c>
    </row>
    <row r="39" ht="19" customHeight="1">
      <c r="A39" s="7" t="inlineStr">
        <is>
          <t>PARKAL</t>
        </is>
      </c>
      <c r="B39" s="25" t="n">
        <v>0</v>
      </c>
      <c r="C39" s="26" t="n">
        <v>0</v>
      </c>
      <c r="D39" s="26" t="n">
        <v>0</v>
      </c>
      <c r="E39" s="9" t="n">
        <v>0</v>
      </c>
      <c r="F39" s="10" t="n">
        <v>0</v>
      </c>
      <c r="G39" s="26" t="n">
        <v>0</v>
      </c>
    </row>
    <row r="40" ht="19" customHeight="1">
      <c r="A40" s="16" t="inlineStr">
        <is>
          <t>THORROR</t>
        </is>
      </c>
      <c r="B40" s="23" t="n">
        <v>1</v>
      </c>
      <c r="C40" s="24">
        <f>'THORROR'!K6</f>
        <v/>
      </c>
      <c r="D40" s="24">
        <f>'THORROR'!L6</f>
        <v/>
      </c>
      <c r="E40" s="13">
        <f>D40-C40</f>
        <v/>
      </c>
      <c r="F40" s="14">
        <f>IF(MAX(C40,D40)&gt;0, MIN(C40,D40)/MAX(C40,D40), 0)</f>
        <v/>
      </c>
      <c r="G40" s="24">
        <f>'THORROR'!O6</f>
        <v/>
      </c>
    </row>
    <row r="41" ht="19" customHeight="1">
      <c r="A41" s="7" t="inlineStr">
        <is>
          <t>WARANGAL-I</t>
        </is>
      </c>
      <c r="B41" s="25" t="n">
        <v>0</v>
      </c>
      <c r="C41" s="26" t="n">
        <v>0</v>
      </c>
      <c r="D41" s="26" t="n">
        <v>0</v>
      </c>
      <c r="E41" s="9" t="n">
        <v>0</v>
      </c>
      <c r="F41" s="10" t="n">
        <v>0</v>
      </c>
      <c r="G41" s="26" t="n">
        <v>0</v>
      </c>
    </row>
    <row r="42" ht="19" customHeight="1">
      <c r="A42" s="16" t="inlineStr">
        <is>
          <t>WARANGAL-II</t>
        </is>
      </c>
      <c r="B42" s="23" t="n">
        <v>0</v>
      </c>
      <c r="C42" s="24" t="n">
        <v>0</v>
      </c>
      <c r="D42" s="24" t="n">
        <v>0</v>
      </c>
      <c r="E42" s="13" t="n">
        <v>0</v>
      </c>
      <c r="F42" s="14" t="n">
        <v>0</v>
      </c>
      <c r="G42" s="24" t="n">
        <v>0</v>
      </c>
    </row>
    <row r="43" ht="22" customHeight="1">
      <c r="A43" s="27" t="inlineStr">
        <is>
          <t>Total</t>
        </is>
      </c>
      <c r="B43" s="29">
        <f>SUM(B34:B42)</f>
        <v/>
      </c>
      <c r="C43" s="29">
        <f>SUM(C34:C42)</f>
        <v/>
      </c>
      <c r="D43" s="29">
        <f>SUM(D34:D42)</f>
        <v/>
      </c>
      <c r="E43" s="30">
        <f>D43-C43</f>
        <v/>
      </c>
      <c r="F43" s="31">
        <f>IF(MAX(C43,D43)&gt;0, MIN(C43,D43)/MAX(C43,D43), 0)</f>
        <v/>
      </c>
      <c r="G43" s="29">
        <f>SUM(G34:G42)</f>
        <v/>
      </c>
    </row>
    <row r="46">
      <c r="A46" s="3" t="inlineStr">
        <is>
          <t>METHODOLOGY, COUNTING RULES &amp; ADJUSTABLE THRESHOLDS</t>
        </is>
      </c>
    </row>
    <row r="47" ht="24" customHeight="1">
      <c r="A47" s="32" t="inlineStr">
        <is>
          <t>1. Data Structure &amp; Service Parsing: Service codes are normalized and extracted from within parentheses. Non-cut columns are strictly ignored.</t>
        </is>
      </c>
    </row>
    <row r="48" ht="24" customHeight="1">
      <c r="A48" s="32" t="inlineStr">
        <is>
          <t>2. Cut Event Counting (Service x Date): A service cut on several dates counts once per date. Services appearing in either list with 0 on the opposite side are preserved.</t>
        </is>
      </c>
    </row>
    <row r="49" ht="24" customHeight="1">
      <c r="A49" s="32" t="inlineStr">
        <is>
          <t>3. [Ran AI] Services Handling: Services marked with '[Ran AI]' in actual cuts were recommended for cut by AI but operated by depot management. As per Rule 5, they count under Predicted Cuts, not Actual Cuts.</t>
        </is>
      </c>
    </row>
    <row r="50" ht="24" customHeight="1">
      <c r="A50" s="32" t="inlineStr">
        <is>
          <t>4. Pending Dates &amp; Like-for-Like Comparison: Dates marked 'Pending' (2026-10-04) have no recorded actual operations and are excluded from like-for-like analysis.</t>
        </is>
      </c>
    </row>
    <row r="51" ht="24" customHeight="1">
      <c r="A51" s="32" t="inlineStr">
        <is>
          <t>5. Regular Cut Services Threshold (Deliverable 2): Services cut on at least 10 completed days (~34.5% of 29 days).</t>
        </is>
      </c>
    </row>
    <row r="52" ht="24" customHeight="1">
      <c r="A52" s="32" t="inlineStr">
        <is>
          <t>6. Close-Match Prediction Criteria (Deliverable 3): Services predicted at least 5 times with match ratio &gt;= 70%.</t>
        </is>
      </c>
    </row>
    <row r="53" ht="24" customHeight="1">
      <c r="A53" s="32" t="inlineStr">
        <is>
          <t>7. Zero-Prediction Depots: Depots such as BHUPALAPALLAY and WARANGAL-II had zero AI schedule cut predictions in the source file. Their actual cuts represent unilateral depot-level decisions.</t>
        </is>
      </c>
    </row>
  </sheetData>
  <mergeCells count="9">
    <mergeCell ref="A53:K53"/>
    <mergeCell ref="A50:K50"/>
    <mergeCell ref="A48:K48"/>
    <mergeCell ref="A2:K2"/>
    <mergeCell ref="A49:K49"/>
    <mergeCell ref="A51:K51"/>
    <mergeCell ref="A47:K47"/>
    <mergeCell ref="A52:K5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4" customWidth="1" min="4" max="4"/>
    <col width="18" customWidth="1" min="5" max="5"/>
    <col width="20" customWidth="1" min="6" max="6"/>
    <col width="18" customWidth="1" min="7" max="7"/>
    <col width="16" customWidth="1" min="8" max="8"/>
    <col width="4" customWidth="1" min="9" max="9"/>
    <col width="18" customWidth="1" min="10" max="10"/>
    <col width="18" customWidth="1" min="11" max="11"/>
    <col width="18" customWidth="1" min="12" max="12"/>
    <col width="22" customWidth="1" min="13" max="13"/>
    <col width="16" customWidth="1" min="14" max="14"/>
    <col width="32" customWidth="1" min="15" max="15"/>
  </cols>
  <sheetData>
    <row r="1" ht="28" customHeight="1">
      <c r="A1" s="1" t="inlineStr">
        <is>
          <t>DEPOT SERVICE CUT REPORT: BHUPALAPALLAY</t>
        </is>
      </c>
    </row>
    <row r="2" ht="20" customHeight="1">
      <c r="A2" s="2" t="inlineStr">
        <is>
          <t>Period: Completed 29 Days (Like-for-Like Analysis)  |  Excluded Pending Dates: 2026-10-04  |  Source: warangal_cut_services_analysis.xlsx</t>
        </is>
      </c>
    </row>
    <row r="3" ht="22" customHeight="1">
      <c r="A3" s="33" t="inlineStr">
        <is>
          <t>DELIVERABLE 1: FULL CUT REPORT</t>
        </is>
      </c>
      <c r="E3" s="34" t="inlineStr">
        <is>
          <t>DELIVERABLE 2: REGULAR CUT SERVICES (Cut on &gt;= 10 Completed Days)</t>
        </is>
      </c>
      <c r="J3" s="35" t="inlineStr">
        <is>
          <t>DELIVERABLE 3: CLOSE MATCH PREDICTIONS (Pred &gt;= 5 &amp; Match &gt;= 70%)</t>
        </is>
      </c>
    </row>
    <row r="4" ht="25" customHeight="1">
      <c r="A4" s="4" t="inlineStr">
        <is>
          <t>Service Number</t>
        </is>
      </c>
      <c r="B4" s="6" t="inlineStr">
        <is>
          <t>Predicted Cut Count</t>
        </is>
      </c>
      <c r="C4" s="6" t="inlineStr">
        <is>
          <t>Actual Cut Count</t>
        </is>
      </c>
      <c r="E4" s="20" t="inlineStr">
        <is>
          <t>Service Number</t>
        </is>
      </c>
      <c r="F4" s="22" t="inlineStr">
        <is>
          <t>Predicted Cut Count</t>
        </is>
      </c>
      <c r="G4" s="22" t="inlineStr">
        <is>
          <t>Actual Cut Count</t>
        </is>
      </c>
      <c r="H4" s="22" t="inlineStr">
        <is>
          <t>% of Days Cut</t>
        </is>
      </c>
      <c r="J4" s="17" t="inlineStr">
        <is>
          <t>Service Number</t>
        </is>
      </c>
      <c r="K4" s="19" t="inlineStr">
        <is>
          <t>Predicted Count</t>
        </is>
      </c>
      <c r="L4" s="19" t="inlineStr">
        <is>
          <t>Actual Count</t>
        </is>
      </c>
      <c r="M4" s="19" t="inlineStr">
        <is>
          <t>Difference (Act - Pred)</t>
        </is>
      </c>
      <c r="N4" s="19" t="inlineStr">
        <is>
          <t>Match %</t>
        </is>
      </c>
      <c r="O4" s="19" t="inlineStr">
        <is>
          <t>Same-Day Coincident Cuts</t>
        </is>
      </c>
    </row>
    <row r="5" ht="19" customHeight="1">
      <c r="A5" s="7" t="inlineStr">
        <is>
          <t>ABK1</t>
        </is>
      </c>
      <c r="B5" s="26" t="n">
        <v>0</v>
      </c>
      <c r="C5" s="26" t="n">
        <v>1</v>
      </c>
      <c r="E5" s="7" t="inlineStr">
        <is>
          <t>HKL5</t>
        </is>
      </c>
      <c r="F5" s="26" t="n">
        <v>0</v>
      </c>
      <c r="G5" s="26" t="n">
        <v>24</v>
      </c>
      <c r="H5" s="10">
        <f>G5/29</f>
        <v/>
      </c>
      <c r="J5" s="36" t="inlineStr">
        <is>
          <t>No close matches qualified (or 0 predictions declared for depot)</t>
        </is>
      </c>
    </row>
    <row r="6" ht="19" customHeight="1">
      <c r="A6" s="16" t="inlineStr">
        <is>
          <t>ABK4</t>
        </is>
      </c>
      <c r="B6" s="24" t="n">
        <v>0</v>
      </c>
      <c r="C6" s="24" t="n">
        <v>4</v>
      </c>
      <c r="E6" s="16" t="inlineStr">
        <is>
          <t>HNK7</t>
        </is>
      </c>
      <c r="F6" s="24" t="n">
        <v>0</v>
      </c>
      <c r="G6" s="24" t="n">
        <v>21</v>
      </c>
      <c r="H6" s="14">
        <f>G6/29</f>
        <v/>
      </c>
    </row>
    <row r="7" ht="19" customHeight="1">
      <c r="A7" s="7" t="inlineStr">
        <is>
          <t>BHK5</t>
        </is>
      </c>
      <c r="B7" s="26" t="n">
        <v>0</v>
      </c>
      <c r="C7" s="26" t="n">
        <v>1</v>
      </c>
      <c r="E7" s="7" t="inlineStr">
        <is>
          <t>PGD5</t>
        </is>
      </c>
      <c r="F7" s="26" t="n">
        <v>0</v>
      </c>
      <c r="G7" s="26" t="n">
        <v>19</v>
      </c>
      <c r="H7" s="10">
        <f>G7/29</f>
        <v/>
      </c>
      <c r="J7" s="37" t="inlineStr">
        <is>
          <t>NON-QUALIFYING PREDICTED SERVICES (Did not meet Deliverable 3 criteria)</t>
        </is>
      </c>
    </row>
    <row r="8" ht="22" customHeight="1">
      <c r="A8" s="16" t="inlineStr">
        <is>
          <t>BKH1</t>
        </is>
      </c>
      <c r="B8" s="24" t="n">
        <v>0</v>
      </c>
      <c r="C8" s="24" t="n">
        <v>1</v>
      </c>
      <c r="E8" s="16" t="inlineStr">
        <is>
          <t>PBM3</t>
        </is>
      </c>
      <c r="F8" s="24" t="n">
        <v>0</v>
      </c>
      <c r="G8" s="24" t="n">
        <v>17</v>
      </c>
      <c r="H8" s="14">
        <f>G8/29</f>
        <v/>
      </c>
      <c r="J8" s="38" t="inlineStr">
        <is>
          <t>Service</t>
        </is>
      </c>
      <c r="K8" s="39" t="inlineStr">
        <is>
          <t>Pred Count</t>
        </is>
      </c>
      <c r="L8" s="39" t="inlineStr">
        <is>
          <t>Act Count</t>
        </is>
      </c>
      <c r="M8" s="39" t="inlineStr">
        <is>
          <t>Match %</t>
        </is>
      </c>
      <c r="N8" s="39" t="inlineStr">
        <is>
          <t>Same-Day Cuts</t>
        </is>
      </c>
      <c r="O8" s="38" t="inlineStr">
        <is>
          <t>Disqualification Reason</t>
        </is>
      </c>
    </row>
    <row r="9" ht="22" customHeight="1">
      <c r="A9" s="7" t="inlineStr">
        <is>
          <t>BKH2</t>
        </is>
      </c>
      <c r="B9" s="26" t="n">
        <v>0</v>
      </c>
      <c r="C9" s="26" t="n">
        <v>3</v>
      </c>
      <c r="E9" s="27" t="inlineStr">
        <is>
          <t>Total</t>
        </is>
      </c>
      <c r="F9" s="29">
        <f>SUM(F5:F8)</f>
        <v/>
      </c>
      <c r="G9" s="29">
        <f>SUM(G5:G8)</f>
        <v/>
      </c>
      <c r="H9" s="31">
        <f>G9/(29*COUNTA(E5:E8))</f>
        <v/>
      </c>
      <c r="J9" s="40" t="inlineStr">
        <is>
          <t>No predicted services or all predicted services qualified</t>
        </is>
      </c>
    </row>
    <row r="10" ht="19" customHeight="1">
      <c r="A10" s="16" t="inlineStr">
        <is>
          <t>BNR1</t>
        </is>
      </c>
      <c r="B10" s="24" t="n">
        <v>0</v>
      </c>
      <c r="C10" s="24" t="n">
        <v>8</v>
      </c>
    </row>
    <row r="11" ht="19" customHeight="1">
      <c r="A11" s="7" t="inlineStr">
        <is>
          <t>BPDP</t>
        </is>
      </c>
      <c r="B11" s="26" t="n">
        <v>0</v>
      </c>
      <c r="C11" s="26" t="n">
        <v>7</v>
      </c>
    </row>
    <row r="12" ht="19" customHeight="1">
      <c r="A12" s="16" t="inlineStr">
        <is>
          <t>BPKT</t>
        </is>
      </c>
      <c r="B12" s="24" t="n">
        <v>0</v>
      </c>
      <c r="C12" s="24" t="n">
        <v>4</v>
      </c>
    </row>
    <row r="13" ht="19" customHeight="1">
      <c r="A13" s="7" t="inlineStr">
        <is>
          <t>BSP1</t>
        </is>
      </c>
      <c r="B13" s="26" t="n">
        <v>0</v>
      </c>
      <c r="C13" s="26" t="n">
        <v>5</v>
      </c>
    </row>
    <row r="14" ht="19" customHeight="1">
      <c r="A14" s="16" t="inlineStr">
        <is>
          <t>GDK9</t>
        </is>
      </c>
      <c r="B14" s="24" t="n">
        <v>0</v>
      </c>
      <c r="C14" s="24" t="n">
        <v>1</v>
      </c>
    </row>
    <row r="15" ht="19" customHeight="1">
      <c r="A15" s="7" t="inlineStr">
        <is>
          <t>GDR2</t>
        </is>
      </c>
      <c r="B15" s="26" t="n">
        <v>0</v>
      </c>
      <c r="C15" s="26" t="n">
        <v>5</v>
      </c>
    </row>
    <row r="16" ht="19" customHeight="1">
      <c r="A16" s="16" t="inlineStr">
        <is>
          <t>HCM3</t>
        </is>
      </c>
      <c r="B16" s="24" t="n">
        <v>0</v>
      </c>
      <c r="C16" s="24" t="n">
        <v>8</v>
      </c>
    </row>
    <row r="17" ht="19" customHeight="1">
      <c r="A17" s="7" t="inlineStr">
        <is>
          <t>HKL1</t>
        </is>
      </c>
      <c r="B17" s="26" t="n">
        <v>0</v>
      </c>
      <c r="C17" s="26" t="n">
        <v>1</v>
      </c>
    </row>
    <row r="18" ht="19" customHeight="1">
      <c r="A18" s="16" t="inlineStr">
        <is>
          <t>HKL5</t>
        </is>
      </c>
      <c r="B18" s="24" t="n">
        <v>0</v>
      </c>
      <c r="C18" s="24" t="n">
        <v>24</v>
      </c>
    </row>
    <row r="19" ht="19" customHeight="1">
      <c r="A19" s="7" t="inlineStr">
        <is>
          <t>HKS1</t>
        </is>
      </c>
      <c r="B19" s="26" t="n">
        <v>0</v>
      </c>
      <c r="C19" s="26" t="n">
        <v>2</v>
      </c>
    </row>
    <row r="20" ht="19" customHeight="1">
      <c r="A20" s="16" t="inlineStr">
        <is>
          <t>HKS2</t>
        </is>
      </c>
      <c r="B20" s="24" t="n">
        <v>0</v>
      </c>
      <c r="C20" s="24" t="n">
        <v>1</v>
      </c>
    </row>
    <row r="21" ht="19" customHeight="1">
      <c r="A21" s="7" t="inlineStr">
        <is>
          <t>HKS3</t>
        </is>
      </c>
      <c r="B21" s="26" t="n">
        <v>0</v>
      </c>
      <c r="C21" s="26" t="n">
        <v>1</v>
      </c>
    </row>
    <row r="22" ht="19" customHeight="1">
      <c r="A22" s="16" t="inlineStr">
        <is>
          <t>HKS4</t>
        </is>
      </c>
      <c r="B22" s="24" t="n">
        <v>0</v>
      </c>
      <c r="C22" s="24" t="n">
        <v>2</v>
      </c>
    </row>
    <row r="23" ht="19" customHeight="1">
      <c r="A23" s="7" t="inlineStr">
        <is>
          <t>HKS5</t>
        </is>
      </c>
      <c r="B23" s="26" t="n">
        <v>0</v>
      </c>
      <c r="C23" s="26" t="n">
        <v>2</v>
      </c>
    </row>
    <row r="24" ht="19" customHeight="1">
      <c r="A24" s="16" t="inlineStr">
        <is>
          <t>HKS6</t>
        </is>
      </c>
      <c r="B24" s="24" t="n">
        <v>0</v>
      </c>
      <c r="C24" s="24" t="n">
        <v>2</v>
      </c>
    </row>
    <row r="25" ht="19" customHeight="1">
      <c r="A25" s="7" t="inlineStr">
        <is>
          <t>HNK7</t>
        </is>
      </c>
      <c r="B25" s="26" t="n">
        <v>0</v>
      </c>
      <c r="C25" s="26" t="n">
        <v>21</v>
      </c>
    </row>
    <row r="26" ht="19" customHeight="1">
      <c r="A26" s="16" t="inlineStr">
        <is>
          <t>MDR1</t>
        </is>
      </c>
      <c r="B26" s="24" t="n">
        <v>0</v>
      </c>
      <c r="C26" s="24" t="n">
        <v>7</v>
      </c>
    </row>
    <row r="27" ht="19" customHeight="1">
      <c r="A27" s="7" t="inlineStr">
        <is>
          <t>MNC4</t>
        </is>
      </c>
      <c r="B27" s="26" t="n">
        <v>0</v>
      </c>
      <c r="C27" s="26" t="n">
        <v>1</v>
      </c>
    </row>
    <row r="28" ht="19" customHeight="1">
      <c r="A28" s="16" t="inlineStr">
        <is>
          <t>NG01</t>
        </is>
      </c>
      <c r="B28" s="24" t="n">
        <v>0</v>
      </c>
      <c r="C28" s="24" t="n">
        <v>1</v>
      </c>
    </row>
    <row r="29" ht="19" customHeight="1">
      <c r="A29" s="7" t="inlineStr">
        <is>
          <t>NG02</t>
        </is>
      </c>
      <c r="B29" s="26" t="n">
        <v>0</v>
      </c>
      <c r="C29" s="26" t="n">
        <v>1</v>
      </c>
    </row>
    <row r="30" ht="19" customHeight="1">
      <c r="A30" s="16" t="inlineStr">
        <is>
          <t>PBM3</t>
        </is>
      </c>
      <c r="B30" s="24" t="n">
        <v>0</v>
      </c>
      <c r="C30" s="24" t="n">
        <v>17</v>
      </c>
    </row>
    <row r="31" ht="19" customHeight="1">
      <c r="A31" s="7" t="inlineStr">
        <is>
          <t>PGD2</t>
        </is>
      </c>
      <c r="B31" s="26" t="n">
        <v>0</v>
      </c>
      <c r="C31" s="26" t="n">
        <v>1</v>
      </c>
    </row>
    <row r="32" ht="19" customHeight="1">
      <c r="A32" s="16" t="inlineStr">
        <is>
          <t>PGD4</t>
        </is>
      </c>
      <c r="B32" s="24" t="n">
        <v>0</v>
      </c>
      <c r="C32" s="24" t="n">
        <v>3</v>
      </c>
    </row>
    <row r="33" ht="19" customHeight="1">
      <c r="A33" s="7" t="inlineStr">
        <is>
          <t>PGD5</t>
        </is>
      </c>
      <c r="B33" s="26" t="n">
        <v>0</v>
      </c>
      <c r="C33" s="26" t="n">
        <v>19</v>
      </c>
    </row>
    <row r="34" ht="19" customHeight="1">
      <c r="A34" s="16" t="inlineStr">
        <is>
          <t>PHD5</t>
        </is>
      </c>
      <c r="B34" s="24" t="n">
        <v>0</v>
      </c>
      <c r="C34" s="24" t="n">
        <v>1</v>
      </c>
    </row>
    <row r="35" ht="19" customHeight="1">
      <c r="A35" s="7" t="inlineStr">
        <is>
          <t>PHE1</t>
        </is>
      </c>
      <c r="B35" s="26" t="n">
        <v>0</v>
      </c>
      <c r="C35" s="26" t="n">
        <v>2</v>
      </c>
    </row>
    <row r="36" ht="19" customHeight="1">
      <c r="A36" s="16" t="inlineStr">
        <is>
          <t>PHE5</t>
        </is>
      </c>
      <c r="B36" s="24" t="n">
        <v>0</v>
      </c>
      <c r="C36" s="24" t="n">
        <v>1</v>
      </c>
    </row>
    <row r="37" ht="19" customHeight="1">
      <c r="A37" s="7" t="inlineStr">
        <is>
          <t>PHE6</t>
        </is>
      </c>
      <c r="B37" s="26" t="n">
        <v>0</v>
      </c>
      <c r="C37" s="26" t="n">
        <v>1</v>
      </c>
    </row>
    <row r="38" ht="19" customHeight="1">
      <c r="A38" s="16" t="inlineStr">
        <is>
          <t>PHE7</t>
        </is>
      </c>
      <c r="B38" s="24" t="n">
        <v>0</v>
      </c>
      <c r="C38" s="24" t="n">
        <v>3</v>
      </c>
    </row>
    <row r="39" ht="19" customHeight="1">
      <c r="A39" s="7" t="inlineStr">
        <is>
          <t>PHK1</t>
        </is>
      </c>
      <c r="B39" s="26" t="n">
        <v>0</v>
      </c>
      <c r="C39" s="26" t="n">
        <v>4</v>
      </c>
    </row>
    <row r="40" ht="19" customHeight="1">
      <c r="A40" s="16" t="inlineStr">
        <is>
          <t>PHK9</t>
        </is>
      </c>
      <c r="B40" s="24" t="n">
        <v>0</v>
      </c>
      <c r="C40" s="24" t="n">
        <v>1</v>
      </c>
    </row>
    <row r="41" ht="19" customHeight="1">
      <c r="A41" s="7" t="inlineStr">
        <is>
          <t>PHP2</t>
        </is>
      </c>
      <c r="B41" s="26" t="n">
        <v>0</v>
      </c>
      <c r="C41" s="26" t="n">
        <v>2</v>
      </c>
    </row>
    <row r="42" ht="19" customHeight="1">
      <c r="A42" s="16" t="inlineStr">
        <is>
          <t>PHP3</t>
        </is>
      </c>
      <c r="B42" s="24" t="n">
        <v>0</v>
      </c>
      <c r="C42" s="24" t="n">
        <v>1</v>
      </c>
    </row>
    <row r="43" ht="19" customHeight="1">
      <c r="A43" s="7" t="inlineStr">
        <is>
          <t>PKH1</t>
        </is>
      </c>
      <c r="B43" s="26" t="n">
        <v>0</v>
      </c>
      <c r="C43" s="26" t="n">
        <v>1</v>
      </c>
    </row>
    <row r="44" ht="19" customHeight="1">
      <c r="A44" s="16" t="inlineStr">
        <is>
          <t>PKH3</t>
        </is>
      </c>
      <c r="B44" s="24" t="n">
        <v>0</v>
      </c>
      <c r="C44" s="24" t="n">
        <v>1</v>
      </c>
    </row>
    <row r="45" ht="19" customHeight="1">
      <c r="A45" s="7" t="inlineStr">
        <is>
          <t>SNG1</t>
        </is>
      </c>
      <c r="B45" s="26" t="n">
        <v>0</v>
      </c>
      <c r="C45" s="26" t="n">
        <v>7</v>
      </c>
    </row>
    <row r="46" ht="22" customHeight="1">
      <c r="A46" s="27" t="inlineStr">
        <is>
          <t>Total</t>
        </is>
      </c>
      <c r="B46" s="29">
        <f>SUM(B5:B45)</f>
        <v/>
      </c>
      <c r="C46" s="29">
        <f>SUM(C5:C45)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4" customWidth="1" min="4" max="4"/>
    <col width="18" customWidth="1" min="5" max="5"/>
    <col width="20" customWidth="1" min="6" max="6"/>
    <col width="18" customWidth="1" min="7" max="7"/>
    <col width="16" customWidth="1" min="8" max="8"/>
    <col width="4" customWidth="1" min="9" max="9"/>
    <col width="18" customWidth="1" min="10" max="10"/>
    <col width="18" customWidth="1" min="11" max="11"/>
    <col width="18" customWidth="1" min="12" max="12"/>
    <col width="22" customWidth="1" min="13" max="13"/>
    <col width="16" customWidth="1" min="14" max="14"/>
    <col width="32" customWidth="1" min="15" max="15"/>
  </cols>
  <sheetData>
    <row r="1" ht="28" customHeight="1">
      <c r="A1" s="1" t="inlineStr">
        <is>
          <t>DEPOT SERVICE CUT REPORT: HANAMKONDA</t>
        </is>
      </c>
    </row>
    <row r="2" ht="20" customHeight="1">
      <c r="A2" s="2" t="inlineStr">
        <is>
          <t>Period: Completed 29 Days (Like-for-Like Analysis)  |  Excluded Pending Dates: 2026-10-04  |  Source: warangal_cut_services_analysis.xlsx</t>
        </is>
      </c>
    </row>
    <row r="3" ht="22" customHeight="1">
      <c r="A3" s="33" t="inlineStr">
        <is>
          <t>DELIVERABLE 1: FULL CUT REPORT</t>
        </is>
      </c>
      <c r="E3" s="34" t="inlineStr">
        <is>
          <t>DELIVERABLE 2: REGULAR CUT SERVICES (Cut on &gt;= 10 Completed Days)</t>
        </is>
      </c>
      <c r="J3" s="35" t="inlineStr">
        <is>
          <t>DELIVERABLE 3: CLOSE MATCH PREDICTIONS (Pred &gt;= 5 &amp; Match &gt;= 70%)</t>
        </is>
      </c>
    </row>
    <row r="4" ht="25" customHeight="1">
      <c r="A4" s="4" t="inlineStr">
        <is>
          <t>Service Number</t>
        </is>
      </c>
      <c r="B4" s="6" t="inlineStr">
        <is>
          <t>Predicted Cut Count</t>
        </is>
      </c>
      <c r="C4" s="6" t="inlineStr">
        <is>
          <t>Actual Cut Count</t>
        </is>
      </c>
      <c r="E4" s="20" t="inlineStr">
        <is>
          <t>Service Number</t>
        </is>
      </c>
      <c r="F4" s="22" t="inlineStr">
        <is>
          <t>Predicted Cut Count</t>
        </is>
      </c>
      <c r="G4" s="22" t="inlineStr">
        <is>
          <t>Actual Cut Count</t>
        </is>
      </c>
      <c r="H4" s="22" t="inlineStr">
        <is>
          <t>% of Days Cut</t>
        </is>
      </c>
      <c r="J4" s="17" t="inlineStr">
        <is>
          <t>Service Number</t>
        </is>
      </c>
      <c r="K4" s="19" t="inlineStr">
        <is>
          <t>Predicted Count</t>
        </is>
      </c>
      <c r="L4" s="19" t="inlineStr">
        <is>
          <t>Actual Count</t>
        </is>
      </c>
      <c r="M4" s="19" t="inlineStr">
        <is>
          <t>Difference (Act - Pred)</t>
        </is>
      </c>
      <c r="N4" s="19" t="inlineStr">
        <is>
          <t>Match %</t>
        </is>
      </c>
      <c r="O4" s="19" t="inlineStr">
        <is>
          <t>Same-Day Coincident Cuts</t>
        </is>
      </c>
    </row>
    <row r="5" ht="19" customHeight="1">
      <c r="A5" s="7" t="inlineStr">
        <is>
          <t>03C1</t>
        </is>
      </c>
      <c r="B5" s="26" t="n">
        <v>0</v>
      </c>
      <c r="C5" s="26" t="n">
        <v>10</v>
      </c>
      <c r="E5" s="7" t="inlineStr">
        <is>
          <t>HKM2</t>
        </is>
      </c>
      <c r="F5" s="26" t="n">
        <v>14</v>
      </c>
      <c r="G5" s="26" t="n">
        <v>24</v>
      </c>
      <c r="H5" s="10">
        <f>G5/29</f>
        <v/>
      </c>
      <c r="J5" s="36" t="inlineStr">
        <is>
          <t>No close matches qualified (or 0 predictions declared for depot)</t>
        </is>
      </c>
    </row>
    <row r="6" ht="19" customHeight="1">
      <c r="A6" s="16" t="inlineStr">
        <is>
          <t>05C1</t>
        </is>
      </c>
      <c r="B6" s="24" t="n">
        <v>0</v>
      </c>
      <c r="C6" s="24" t="n">
        <v>2</v>
      </c>
      <c r="E6" s="16" t="inlineStr">
        <is>
          <t>HKM3</t>
        </is>
      </c>
      <c r="F6" s="24" t="n">
        <v>0</v>
      </c>
      <c r="G6" s="24" t="n">
        <v>23</v>
      </c>
      <c r="H6" s="14">
        <f>G6/29</f>
        <v/>
      </c>
    </row>
    <row r="7" ht="19" customHeight="1">
      <c r="A7" s="7" t="inlineStr">
        <is>
          <t>05C2</t>
        </is>
      </c>
      <c r="B7" s="26" t="n">
        <v>0</v>
      </c>
      <c r="C7" s="26" t="n">
        <v>2</v>
      </c>
      <c r="E7" s="7" t="inlineStr">
        <is>
          <t>HKM5</t>
        </is>
      </c>
      <c r="F7" s="26" t="n">
        <v>0</v>
      </c>
      <c r="G7" s="26" t="n">
        <v>23</v>
      </c>
      <c r="H7" s="10">
        <f>G7/29</f>
        <v/>
      </c>
      <c r="J7" s="37" t="inlineStr">
        <is>
          <t>NON-QUALIFYING PREDICTED SERVICES (Did not meet Deliverable 3 criteria)</t>
        </is>
      </c>
    </row>
    <row r="8" ht="22" customHeight="1">
      <c r="A8" s="16" t="inlineStr">
        <is>
          <t>06C2</t>
        </is>
      </c>
      <c r="B8" s="24" t="n">
        <v>0</v>
      </c>
      <c r="C8" s="24" t="n">
        <v>1</v>
      </c>
      <c r="E8" s="16" t="inlineStr">
        <is>
          <t>60C2</t>
        </is>
      </c>
      <c r="F8" s="24" t="n">
        <v>13</v>
      </c>
      <c r="G8" s="24" t="n">
        <v>22</v>
      </c>
      <c r="H8" s="14">
        <f>G8/29</f>
        <v/>
      </c>
      <c r="J8" s="38" t="inlineStr">
        <is>
          <t>Service</t>
        </is>
      </c>
      <c r="K8" s="39" t="inlineStr">
        <is>
          <t>Pred Count</t>
        </is>
      </c>
      <c r="L8" s="39" t="inlineStr">
        <is>
          <t>Act Count</t>
        </is>
      </c>
      <c r="M8" s="39" t="inlineStr">
        <is>
          <t>Match %</t>
        </is>
      </c>
      <c r="N8" s="39" t="inlineStr">
        <is>
          <t>Same-Day Cuts</t>
        </is>
      </c>
      <c r="O8" s="38" t="inlineStr">
        <is>
          <t>Disqualification Reason</t>
        </is>
      </c>
    </row>
    <row r="9" ht="18" customHeight="1">
      <c r="A9" s="7" t="inlineStr">
        <is>
          <t>07C1</t>
        </is>
      </c>
      <c r="B9" s="26" t="n">
        <v>0</v>
      </c>
      <c r="C9" s="26" t="n">
        <v>4</v>
      </c>
      <c r="E9" s="7" t="inlineStr">
        <is>
          <t>60C1</t>
        </is>
      </c>
      <c r="F9" s="26" t="n">
        <v>5</v>
      </c>
      <c r="G9" s="26" t="n">
        <v>21</v>
      </c>
      <c r="H9" s="10">
        <f>G9/29</f>
        <v/>
      </c>
      <c r="J9" s="7" t="inlineStr">
        <is>
          <t>HKM2</t>
        </is>
      </c>
      <c r="K9" s="26" t="n">
        <v>14</v>
      </c>
      <c r="L9" s="26" t="n">
        <v>24</v>
      </c>
      <c r="M9" s="10" t="n">
        <v>0.5833333333333334</v>
      </c>
      <c r="N9" s="26" t="n">
        <v>14</v>
      </c>
      <c r="O9" s="41" t="inlineStr">
        <is>
          <t>Match ratio 58.3% &lt; 70%</t>
        </is>
      </c>
    </row>
    <row r="10" ht="18" customHeight="1">
      <c r="A10" s="16" t="inlineStr">
        <is>
          <t>07C2</t>
        </is>
      </c>
      <c r="B10" s="24" t="n">
        <v>0</v>
      </c>
      <c r="C10" s="24" t="n">
        <v>5</v>
      </c>
      <c r="E10" s="16" t="inlineStr">
        <is>
          <t>59C2</t>
        </is>
      </c>
      <c r="F10" s="24" t="n">
        <v>4</v>
      </c>
      <c r="G10" s="24" t="n">
        <v>20</v>
      </c>
      <c r="H10" s="14">
        <f>G10/29</f>
        <v/>
      </c>
      <c r="J10" s="16" t="inlineStr">
        <is>
          <t>60C2</t>
        </is>
      </c>
      <c r="K10" s="24" t="n">
        <v>13</v>
      </c>
      <c r="L10" s="24" t="n">
        <v>22</v>
      </c>
      <c r="M10" s="14" t="n">
        <v>0.5909090909090909</v>
      </c>
      <c r="N10" s="24" t="n">
        <v>9</v>
      </c>
      <c r="O10" s="42" t="inlineStr">
        <is>
          <t>Match ratio 59.1% &lt; 70%</t>
        </is>
      </c>
    </row>
    <row r="11" ht="18" customHeight="1">
      <c r="A11" s="7" t="inlineStr">
        <is>
          <t>08S1</t>
        </is>
      </c>
      <c r="B11" s="26" t="n">
        <v>0</v>
      </c>
      <c r="C11" s="26" t="n">
        <v>5</v>
      </c>
      <c r="E11" s="7" t="inlineStr">
        <is>
          <t>59C1</t>
        </is>
      </c>
      <c r="F11" s="26" t="n">
        <v>2</v>
      </c>
      <c r="G11" s="26" t="n">
        <v>18</v>
      </c>
      <c r="H11" s="10">
        <f>G11/29</f>
        <v/>
      </c>
      <c r="J11" s="7" t="inlineStr">
        <is>
          <t>DPV1</t>
        </is>
      </c>
      <c r="K11" s="26" t="n">
        <v>6</v>
      </c>
      <c r="L11" s="26" t="n">
        <v>11</v>
      </c>
      <c r="M11" s="10" t="n">
        <v>0.5454545454545454</v>
      </c>
      <c r="N11" s="26" t="n">
        <v>4</v>
      </c>
      <c r="O11" s="41" t="inlineStr">
        <is>
          <t>Match ratio 54.5% &lt; 70%</t>
        </is>
      </c>
    </row>
    <row r="12" ht="18" customHeight="1">
      <c r="A12" s="16" t="inlineStr">
        <is>
          <t>08S2</t>
        </is>
      </c>
      <c r="B12" s="24" t="n">
        <v>0</v>
      </c>
      <c r="C12" s="24" t="n">
        <v>5</v>
      </c>
      <c r="E12" s="16" t="inlineStr">
        <is>
          <t>26C1</t>
        </is>
      </c>
      <c r="F12" s="24" t="n">
        <v>0</v>
      </c>
      <c r="G12" s="24" t="n">
        <v>16</v>
      </c>
      <c r="H12" s="14">
        <f>G12/29</f>
        <v/>
      </c>
      <c r="J12" s="16" t="inlineStr">
        <is>
          <t>60C1</t>
        </is>
      </c>
      <c r="K12" s="24" t="n">
        <v>5</v>
      </c>
      <c r="L12" s="24" t="n">
        <v>21</v>
      </c>
      <c r="M12" s="14" t="n">
        <v>0.2380952380952381</v>
      </c>
      <c r="N12" s="24" t="n">
        <v>3</v>
      </c>
      <c r="O12" s="42" t="inlineStr">
        <is>
          <t>Match ratio 23.8% &lt; 70%</t>
        </is>
      </c>
    </row>
    <row r="13" ht="18" customHeight="1">
      <c r="A13" s="7" t="inlineStr">
        <is>
          <t>11C1</t>
        </is>
      </c>
      <c r="B13" s="26" t="n">
        <v>0</v>
      </c>
      <c r="C13" s="26" t="n">
        <v>1</v>
      </c>
      <c r="E13" s="7" t="inlineStr">
        <is>
          <t>67C1</t>
        </is>
      </c>
      <c r="F13" s="26" t="n">
        <v>0</v>
      </c>
      <c r="G13" s="26" t="n">
        <v>16</v>
      </c>
      <c r="H13" s="10">
        <f>G13/29</f>
        <v/>
      </c>
      <c r="J13" s="7" t="inlineStr">
        <is>
          <t>KNV1</t>
        </is>
      </c>
      <c r="K13" s="26" t="n">
        <v>5</v>
      </c>
      <c r="L13" s="26" t="n">
        <v>8</v>
      </c>
      <c r="M13" s="10" t="n">
        <v>0.625</v>
      </c>
      <c r="N13" s="26" t="n">
        <v>2</v>
      </c>
      <c r="O13" s="41" t="inlineStr">
        <is>
          <t>Match ratio 62.5% &lt; 70%</t>
        </is>
      </c>
    </row>
    <row r="14" ht="18" customHeight="1">
      <c r="A14" s="16" t="inlineStr">
        <is>
          <t>11C2</t>
        </is>
      </c>
      <c r="B14" s="24" t="n">
        <v>0</v>
      </c>
      <c r="C14" s="24" t="n">
        <v>2</v>
      </c>
      <c r="E14" s="16" t="inlineStr">
        <is>
          <t>67C2</t>
        </is>
      </c>
      <c r="F14" s="24" t="n">
        <v>0</v>
      </c>
      <c r="G14" s="24" t="n">
        <v>16</v>
      </c>
      <c r="H14" s="14">
        <f>G14/29</f>
        <v/>
      </c>
      <c r="J14" s="16" t="inlineStr">
        <is>
          <t>59C2</t>
        </is>
      </c>
      <c r="K14" s="24" t="n">
        <v>4</v>
      </c>
      <c r="L14" s="24" t="n">
        <v>20</v>
      </c>
      <c r="M14" s="14" t="n">
        <v>0.2</v>
      </c>
      <c r="N14" s="24" t="n">
        <v>2</v>
      </c>
      <c r="O14" s="42" t="inlineStr">
        <is>
          <t>Predicted &lt; 5 times (4); Match ratio 20.0% &lt; 70%</t>
        </is>
      </c>
    </row>
    <row r="15" ht="18" customHeight="1">
      <c r="A15" s="7" t="inlineStr">
        <is>
          <t>12H1</t>
        </is>
      </c>
      <c r="B15" s="26" t="n">
        <v>0</v>
      </c>
      <c r="C15" s="26" t="n">
        <v>3</v>
      </c>
      <c r="E15" s="7" t="inlineStr">
        <is>
          <t>58C1</t>
        </is>
      </c>
      <c r="F15" s="26" t="n">
        <v>0</v>
      </c>
      <c r="G15" s="26" t="n">
        <v>15</v>
      </c>
      <c r="H15" s="10">
        <f>G15/29</f>
        <v/>
      </c>
      <c r="J15" s="7" t="inlineStr">
        <is>
          <t>59C1</t>
        </is>
      </c>
      <c r="K15" s="26" t="n">
        <v>2</v>
      </c>
      <c r="L15" s="26" t="n">
        <v>18</v>
      </c>
      <c r="M15" s="10" t="n">
        <v>0.1111111111111111</v>
      </c>
      <c r="N15" s="26" t="n">
        <v>1</v>
      </c>
      <c r="O15" s="41" t="inlineStr">
        <is>
          <t>Predicted &lt; 5 times (2); Match ratio 11.1% &lt; 70%</t>
        </is>
      </c>
    </row>
    <row r="16" ht="18" customHeight="1">
      <c r="A16" s="16" t="inlineStr">
        <is>
          <t>14C1</t>
        </is>
      </c>
      <c r="B16" s="24" t="n">
        <v>0</v>
      </c>
      <c r="C16" s="24" t="n">
        <v>5</v>
      </c>
      <c r="E16" s="16" t="inlineStr">
        <is>
          <t>33C1</t>
        </is>
      </c>
      <c r="F16" s="24" t="n">
        <v>0</v>
      </c>
      <c r="G16" s="24" t="n">
        <v>14</v>
      </c>
      <c r="H16" s="14">
        <f>G16/29</f>
        <v/>
      </c>
      <c r="J16" s="16" t="inlineStr">
        <is>
          <t>4JM2</t>
        </is>
      </c>
      <c r="K16" s="24" t="n">
        <v>1</v>
      </c>
      <c r="L16" s="24" t="n">
        <v>8</v>
      </c>
      <c r="M16" s="14" t="n">
        <v>0.125</v>
      </c>
      <c r="N16" s="24" t="n">
        <v>1</v>
      </c>
      <c r="O16" s="42" t="inlineStr">
        <is>
          <t>Predicted &lt; 5 times (1); Match ratio 12.5% &lt; 70%</t>
        </is>
      </c>
    </row>
    <row r="17" ht="19" customHeight="1">
      <c r="A17" s="7" t="inlineStr">
        <is>
          <t>14C2</t>
        </is>
      </c>
      <c r="B17" s="26" t="n">
        <v>0</v>
      </c>
      <c r="C17" s="26" t="n">
        <v>5</v>
      </c>
      <c r="E17" s="7" t="inlineStr">
        <is>
          <t>39C2</t>
        </is>
      </c>
      <c r="F17" s="26" t="n">
        <v>0</v>
      </c>
      <c r="G17" s="26" t="n">
        <v>14</v>
      </c>
      <c r="H17" s="10">
        <f>G17/29</f>
        <v/>
      </c>
    </row>
    <row r="18" ht="19" customHeight="1">
      <c r="A18" s="16" t="inlineStr">
        <is>
          <t>15C1</t>
        </is>
      </c>
      <c r="B18" s="24" t="n">
        <v>0</v>
      </c>
      <c r="C18" s="24" t="n">
        <v>1</v>
      </c>
      <c r="E18" s="16" t="inlineStr">
        <is>
          <t>66C2</t>
        </is>
      </c>
      <c r="F18" s="24" t="n">
        <v>0</v>
      </c>
      <c r="G18" s="24" t="n">
        <v>14</v>
      </c>
      <c r="H18" s="14">
        <f>G18/29</f>
        <v/>
      </c>
    </row>
    <row r="19" ht="19" customHeight="1">
      <c r="A19" s="7" t="inlineStr">
        <is>
          <t>15C2</t>
        </is>
      </c>
      <c r="B19" s="26" t="n">
        <v>0</v>
      </c>
      <c r="C19" s="26" t="n">
        <v>1</v>
      </c>
      <c r="E19" s="7" t="inlineStr">
        <is>
          <t>42C2</t>
        </is>
      </c>
      <c r="F19" s="26" t="n">
        <v>0</v>
      </c>
      <c r="G19" s="26" t="n">
        <v>13</v>
      </c>
      <c r="H19" s="10">
        <f>G19/29</f>
        <v/>
      </c>
    </row>
    <row r="20" ht="19" customHeight="1">
      <c r="A20" s="16" t="inlineStr">
        <is>
          <t>16C1</t>
        </is>
      </c>
      <c r="B20" s="24" t="n">
        <v>0</v>
      </c>
      <c r="C20" s="24" t="n">
        <v>9</v>
      </c>
      <c r="E20" s="16" t="inlineStr">
        <is>
          <t>4JG1</t>
        </is>
      </c>
      <c r="F20" s="24" t="n">
        <v>0</v>
      </c>
      <c r="G20" s="24" t="n">
        <v>13</v>
      </c>
      <c r="H20" s="14">
        <f>G20/29</f>
        <v/>
      </c>
    </row>
    <row r="21" ht="19" customHeight="1">
      <c r="A21" s="7" t="inlineStr">
        <is>
          <t>16C2</t>
        </is>
      </c>
      <c r="B21" s="26" t="n">
        <v>0</v>
      </c>
      <c r="C21" s="26" t="n">
        <v>9</v>
      </c>
      <c r="E21" s="7" t="inlineStr">
        <is>
          <t>42C1</t>
        </is>
      </c>
      <c r="F21" s="26" t="n">
        <v>0</v>
      </c>
      <c r="G21" s="26" t="n">
        <v>12</v>
      </c>
      <c r="H21" s="10">
        <f>G21/29</f>
        <v/>
      </c>
    </row>
    <row r="22" ht="19" customHeight="1">
      <c r="A22" s="16" t="inlineStr">
        <is>
          <t>18C1</t>
        </is>
      </c>
      <c r="B22" s="24" t="n">
        <v>0</v>
      </c>
      <c r="C22" s="24" t="n">
        <v>8</v>
      </c>
      <c r="E22" s="16" t="inlineStr">
        <is>
          <t>66C1</t>
        </is>
      </c>
      <c r="F22" s="24" t="n">
        <v>0</v>
      </c>
      <c r="G22" s="24" t="n">
        <v>12</v>
      </c>
      <c r="H22" s="14">
        <f>G22/29</f>
        <v/>
      </c>
    </row>
    <row r="23" ht="19" customHeight="1">
      <c r="A23" s="7" t="inlineStr">
        <is>
          <t>18C2</t>
        </is>
      </c>
      <c r="B23" s="26" t="n">
        <v>0</v>
      </c>
      <c r="C23" s="26" t="n">
        <v>8</v>
      </c>
      <c r="E23" s="7" t="inlineStr">
        <is>
          <t>DPV1</t>
        </is>
      </c>
      <c r="F23" s="26" t="n">
        <v>6</v>
      </c>
      <c r="G23" s="26" t="n">
        <v>11</v>
      </c>
      <c r="H23" s="10">
        <f>G23/29</f>
        <v/>
      </c>
    </row>
    <row r="24" ht="19" customHeight="1">
      <c r="A24" s="16" t="inlineStr">
        <is>
          <t>19C1</t>
        </is>
      </c>
      <c r="B24" s="24" t="n">
        <v>0</v>
      </c>
      <c r="C24" s="24" t="n">
        <v>2</v>
      </c>
      <c r="E24" s="16" t="inlineStr">
        <is>
          <t>03C1</t>
        </is>
      </c>
      <c r="F24" s="24" t="n">
        <v>0</v>
      </c>
      <c r="G24" s="24" t="n">
        <v>10</v>
      </c>
      <c r="H24" s="14">
        <f>G24/29</f>
        <v/>
      </c>
    </row>
    <row r="25" ht="19" customHeight="1">
      <c r="A25" s="7" t="inlineStr">
        <is>
          <t>19C2</t>
        </is>
      </c>
      <c r="B25" s="26" t="n">
        <v>0</v>
      </c>
      <c r="C25" s="26" t="n">
        <v>2</v>
      </c>
      <c r="E25" s="7" t="inlineStr">
        <is>
          <t>27S2</t>
        </is>
      </c>
      <c r="F25" s="26" t="n">
        <v>0</v>
      </c>
      <c r="G25" s="26" t="n">
        <v>10</v>
      </c>
      <c r="H25" s="10">
        <f>G25/29</f>
        <v/>
      </c>
    </row>
    <row r="26" ht="19" customHeight="1">
      <c r="A26" s="16" t="inlineStr">
        <is>
          <t>1AN1</t>
        </is>
      </c>
      <c r="B26" s="24" t="n">
        <v>0</v>
      </c>
      <c r="C26" s="24" t="n">
        <v>1</v>
      </c>
      <c r="E26" s="16" t="inlineStr">
        <is>
          <t>34C1</t>
        </is>
      </c>
      <c r="F26" s="24" t="n">
        <v>0</v>
      </c>
      <c r="G26" s="24" t="n">
        <v>10</v>
      </c>
      <c r="H26" s="14">
        <f>G26/29</f>
        <v/>
      </c>
    </row>
    <row r="27" ht="19" customHeight="1">
      <c r="A27" s="7" t="inlineStr">
        <is>
          <t>20C1</t>
        </is>
      </c>
      <c r="B27" s="26" t="n">
        <v>0</v>
      </c>
      <c r="C27" s="26" t="n">
        <v>1</v>
      </c>
      <c r="E27" s="7" t="inlineStr">
        <is>
          <t>38C2</t>
        </is>
      </c>
      <c r="F27" s="26" t="n">
        <v>0</v>
      </c>
      <c r="G27" s="26" t="n">
        <v>10</v>
      </c>
      <c r="H27" s="10">
        <f>G27/29</f>
        <v/>
      </c>
    </row>
    <row r="28" ht="19" customHeight="1">
      <c r="A28" s="16" t="inlineStr">
        <is>
          <t>22C1</t>
        </is>
      </c>
      <c r="B28" s="24" t="n">
        <v>0</v>
      </c>
      <c r="C28" s="24" t="n">
        <v>6</v>
      </c>
      <c r="E28" s="16" t="inlineStr">
        <is>
          <t>50C2</t>
        </is>
      </c>
      <c r="F28" s="24" t="n">
        <v>0</v>
      </c>
      <c r="G28" s="24" t="n">
        <v>10</v>
      </c>
      <c r="H28" s="14">
        <f>G28/29</f>
        <v/>
      </c>
    </row>
    <row r="29" ht="22" customHeight="1">
      <c r="A29" s="7" t="inlineStr">
        <is>
          <t>22C2</t>
        </is>
      </c>
      <c r="B29" s="26" t="n">
        <v>0</v>
      </c>
      <c r="C29" s="26" t="n">
        <v>5</v>
      </c>
      <c r="E29" s="27" t="inlineStr">
        <is>
          <t>Total</t>
        </is>
      </c>
      <c r="F29" s="29">
        <f>SUM(F5:F28)</f>
        <v/>
      </c>
      <c r="G29" s="29">
        <f>SUM(G5:G28)</f>
        <v/>
      </c>
      <c r="H29" s="31">
        <f>G29/(29*COUNTA(E5:E28))</f>
        <v/>
      </c>
    </row>
    <row r="30" ht="19" customHeight="1">
      <c r="A30" s="16" t="inlineStr">
        <is>
          <t>23C1</t>
        </is>
      </c>
      <c r="B30" s="24" t="n">
        <v>0</v>
      </c>
      <c r="C30" s="24" t="n">
        <v>5</v>
      </c>
    </row>
    <row r="31" ht="19" customHeight="1">
      <c r="A31" s="7" t="inlineStr">
        <is>
          <t>23C2</t>
        </is>
      </c>
      <c r="B31" s="26" t="n">
        <v>0</v>
      </c>
      <c r="C31" s="26" t="n">
        <v>6</v>
      </c>
    </row>
    <row r="32" ht="19" customHeight="1">
      <c r="A32" s="16" t="inlineStr">
        <is>
          <t>24C1</t>
        </is>
      </c>
      <c r="B32" s="24" t="n">
        <v>0</v>
      </c>
      <c r="C32" s="24" t="n">
        <v>1</v>
      </c>
    </row>
    <row r="33" ht="19" customHeight="1">
      <c r="A33" s="7" t="inlineStr">
        <is>
          <t>24C2</t>
        </is>
      </c>
      <c r="B33" s="26" t="n">
        <v>0</v>
      </c>
      <c r="C33" s="26" t="n">
        <v>3</v>
      </c>
    </row>
    <row r="34" ht="19" customHeight="1">
      <c r="A34" s="16" t="inlineStr">
        <is>
          <t>24S1</t>
        </is>
      </c>
      <c r="B34" s="24" t="n">
        <v>0</v>
      </c>
      <c r="C34" s="24" t="n">
        <v>6</v>
      </c>
    </row>
    <row r="35" ht="19" customHeight="1">
      <c r="A35" s="7" t="inlineStr">
        <is>
          <t>26C1</t>
        </is>
      </c>
      <c r="B35" s="26" t="n">
        <v>0</v>
      </c>
      <c r="C35" s="26" t="n">
        <v>16</v>
      </c>
    </row>
    <row r="36" ht="19" customHeight="1">
      <c r="A36" s="16" t="inlineStr">
        <is>
          <t>27S2</t>
        </is>
      </c>
      <c r="B36" s="24" t="n">
        <v>0</v>
      </c>
      <c r="C36" s="24" t="n">
        <v>10</v>
      </c>
    </row>
    <row r="37" ht="19" customHeight="1">
      <c r="A37" s="7" t="inlineStr">
        <is>
          <t>28C2</t>
        </is>
      </c>
      <c r="B37" s="26" t="n">
        <v>0</v>
      </c>
      <c r="C37" s="26" t="n">
        <v>1</v>
      </c>
    </row>
    <row r="38" ht="19" customHeight="1">
      <c r="A38" s="16" t="inlineStr">
        <is>
          <t>29C1</t>
        </is>
      </c>
      <c r="B38" s="24" t="n">
        <v>0</v>
      </c>
      <c r="C38" s="24" t="n">
        <v>3</v>
      </c>
    </row>
    <row r="39" ht="19" customHeight="1">
      <c r="A39" s="7" t="inlineStr">
        <is>
          <t>2VW1</t>
        </is>
      </c>
      <c r="B39" s="26" t="n">
        <v>0</v>
      </c>
      <c r="C39" s="26" t="n">
        <v>2</v>
      </c>
    </row>
    <row r="40" ht="19" customHeight="1">
      <c r="A40" s="16" t="inlineStr">
        <is>
          <t>32C1</t>
        </is>
      </c>
      <c r="B40" s="24" t="n">
        <v>0</v>
      </c>
      <c r="C40" s="24" t="n">
        <v>3</v>
      </c>
    </row>
    <row r="41" ht="19" customHeight="1">
      <c r="A41" s="7" t="inlineStr">
        <is>
          <t>32C2</t>
        </is>
      </c>
      <c r="B41" s="26" t="n">
        <v>0</v>
      </c>
      <c r="C41" s="26" t="n">
        <v>4</v>
      </c>
    </row>
    <row r="42" ht="19" customHeight="1">
      <c r="A42" s="16" t="inlineStr">
        <is>
          <t>32S1</t>
        </is>
      </c>
      <c r="B42" s="24" t="n">
        <v>0</v>
      </c>
      <c r="C42" s="24" t="n">
        <v>2</v>
      </c>
    </row>
    <row r="43" ht="19" customHeight="1">
      <c r="A43" s="7" t="inlineStr">
        <is>
          <t>32S2</t>
        </is>
      </c>
      <c r="B43" s="26" t="n">
        <v>0</v>
      </c>
      <c r="C43" s="26" t="n">
        <v>2</v>
      </c>
    </row>
    <row r="44" ht="19" customHeight="1">
      <c r="A44" s="16" t="inlineStr">
        <is>
          <t>33C1</t>
        </is>
      </c>
      <c r="B44" s="24" t="n">
        <v>0</v>
      </c>
      <c r="C44" s="24" t="n">
        <v>14</v>
      </c>
    </row>
    <row r="45" ht="19" customHeight="1">
      <c r="A45" s="7" t="inlineStr">
        <is>
          <t>34C1</t>
        </is>
      </c>
      <c r="B45" s="26" t="n">
        <v>0</v>
      </c>
      <c r="C45" s="26" t="n">
        <v>10</v>
      </c>
    </row>
    <row r="46" ht="19" customHeight="1">
      <c r="A46" s="16" t="inlineStr">
        <is>
          <t>38C1</t>
        </is>
      </c>
      <c r="B46" s="24" t="n">
        <v>0</v>
      </c>
      <c r="C46" s="24" t="n">
        <v>8</v>
      </c>
    </row>
    <row r="47" ht="19" customHeight="1">
      <c r="A47" s="7" t="inlineStr">
        <is>
          <t>38C2</t>
        </is>
      </c>
      <c r="B47" s="26" t="n">
        <v>0</v>
      </c>
      <c r="C47" s="26" t="n">
        <v>10</v>
      </c>
    </row>
    <row r="48" ht="19" customHeight="1">
      <c r="A48" s="16" t="inlineStr">
        <is>
          <t>39C1</t>
        </is>
      </c>
      <c r="B48" s="24" t="n">
        <v>0</v>
      </c>
      <c r="C48" s="24" t="n">
        <v>2</v>
      </c>
    </row>
    <row r="49" ht="19" customHeight="1">
      <c r="A49" s="7" t="inlineStr">
        <is>
          <t>39C2</t>
        </is>
      </c>
      <c r="B49" s="26" t="n">
        <v>0</v>
      </c>
      <c r="C49" s="26" t="n">
        <v>14</v>
      </c>
    </row>
    <row r="50" ht="19" customHeight="1">
      <c r="A50" s="16" t="inlineStr">
        <is>
          <t>3JG1</t>
        </is>
      </c>
      <c r="B50" s="24" t="n">
        <v>0</v>
      </c>
      <c r="C50" s="24" t="n">
        <v>1</v>
      </c>
    </row>
    <row r="51" ht="19" customHeight="1">
      <c r="A51" s="7" t="inlineStr">
        <is>
          <t>42C1</t>
        </is>
      </c>
      <c r="B51" s="26" t="n">
        <v>0</v>
      </c>
      <c r="C51" s="26" t="n">
        <v>12</v>
      </c>
    </row>
    <row r="52" ht="19" customHeight="1">
      <c r="A52" s="16" t="inlineStr">
        <is>
          <t>42C2</t>
        </is>
      </c>
      <c r="B52" s="24" t="n">
        <v>0</v>
      </c>
      <c r="C52" s="24" t="n">
        <v>13</v>
      </c>
    </row>
    <row r="53" ht="19" customHeight="1">
      <c r="A53" s="7" t="inlineStr">
        <is>
          <t>44C1</t>
        </is>
      </c>
      <c r="B53" s="26" t="n">
        <v>0</v>
      </c>
      <c r="C53" s="26" t="n">
        <v>2</v>
      </c>
    </row>
    <row r="54" ht="19" customHeight="1">
      <c r="A54" s="16" t="inlineStr">
        <is>
          <t>4JG1</t>
        </is>
      </c>
      <c r="B54" s="24" t="n">
        <v>0</v>
      </c>
      <c r="C54" s="24" t="n">
        <v>13</v>
      </c>
    </row>
    <row r="55" ht="19" customHeight="1">
      <c r="A55" s="7" t="inlineStr">
        <is>
          <t>4JM2</t>
        </is>
      </c>
      <c r="B55" s="26" t="n">
        <v>1</v>
      </c>
      <c r="C55" s="26" t="n">
        <v>8</v>
      </c>
    </row>
    <row r="56" ht="19" customHeight="1">
      <c r="A56" s="16" t="inlineStr">
        <is>
          <t>50C1</t>
        </is>
      </c>
      <c r="B56" s="24" t="n">
        <v>0</v>
      </c>
      <c r="C56" s="24" t="n">
        <v>6</v>
      </c>
    </row>
    <row r="57" ht="19" customHeight="1">
      <c r="A57" s="7" t="inlineStr">
        <is>
          <t>50C2</t>
        </is>
      </c>
      <c r="B57" s="26" t="n">
        <v>0</v>
      </c>
      <c r="C57" s="26" t="n">
        <v>10</v>
      </c>
    </row>
    <row r="58" ht="19" customHeight="1">
      <c r="A58" s="16" t="inlineStr">
        <is>
          <t>52C1</t>
        </is>
      </c>
      <c r="B58" s="24" t="n">
        <v>0</v>
      </c>
      <c r="C58" s="24" t="n">
        <v>7</v>
      </c>
    </row>
    <row r="59" ht="19" customHeight="1">
      <c r="A59" s="7" t="inlineStr">
        <is>
          <t>52C2</t>
        </is>
      </c>
      <c r="B59" s="26" t="n">
        <v>0</v>
      </c>
      <c r="C59" s="26" t="n">
        <v>7</v>
      </c>
    </row>
    <row r="60" ht="19" customHeight="1">
      <c r="A60" s="16" t="inlineStr">
        <is>
          <t>53C1</t>
        </is>
      </c>
      <c r="B60" s="24" t="n">
        <v>0</v>
      </c>
      <c r="C60" s="24" t="n">
        <v>1</v>
      </c>
    </row>
    <row r="61" ht="19" customHeight="1">
      <c r="A61" s="7" t="inlineStr">
        <is>
          <t>54C1</t>
        </is>
      </c>
      <c r="B61" s="26" t="n">
        <v>0</v>
      </c>
      <c r="C61" s="26" t="n">
        <v>5</v>
      </c>
    </row>
    <row r="62" ht="19" customHeight="1">
      <c r="A62" s="16" t="inlineStr">
        <is>
          <t>54C2</t>
        </is>
      </c>
      <c r="B62" s="24" t="n">
        <v>0</v>
      </c>
      <c r="C62" s="24" t="n">
        <v>8</v>
      </c>
    </row>
    <row r="63" ht="19" customHeight="1">
      <c r="A63" s="7" t="inlineStr">
        <is>
          <t>57C1</t>
        </is>
      </c>
      <c r="B63" s="26" t="n">
        <v>0</v>
      </c>
      <c r="C63" s="26" t="n">
        <v>4</v>
      </c>
    </row>
    <row r="64" ht="19" customHeight="1">
      <c r="A64" s="16" t="inlineStr">
        <is>
          <t>57C2</t>
        </is>
      </c>
      <c r="B64" s="24" t="n">
        <v>0</v>
      </c>
      <c r="C64" s="24" t="n">
        <v>4</v>
      </c>
    </row>
    <row r="65" ht="19" customHeight="1">
      <c r="A65" s="7" t="inlineStr">
        <is>
          <t>58C1</t>
        </is>
      </c>
      <c r="B65" s="26" t="n">
        <v>0</v>
      </c>
      <c r="C65" s="26" t="n">
        <v>15</v>
      </c>
    </row>
    <row r="66" ht="19" customHeight="1">
      <c r="A66" s="16" t="inlineStr">
        <is>
          <t>59C1</t>
        </is>
      </c>
      <c r="B66" s="24" t="n">
        <v>2</v>
      </c>
      <c r="C66" s="24" t="n">
        <v>18</v>
      </c>
    </row>
    <row r="67" ht="19" customHeight="1">
      <c r="A67" s="7" t="inlineStr">
        <is>
          <t>59C2</t>
        </is>
      </c>
      <c r="B67" s="26" t="n">
        <v>4</v>
      </c>
      <c r="C67" s="26" t="n">
        <v>20</v>
      </c>
    </row>
    <row r="68" ht="19" customHeight="1">
      <c r="A68" s="16" t="inlineStr">
        <is>
          <t>5JG1</t>
        </is>
      </c>
      <c r="B68" s="24" t="n">
        <v>0</v>
      </c>
      <c r="C68" s="24" t="n">
        <v>5</v>
      </c>
    </row>
    <row r="69" ht="19" customHeight="1">
      <c r="A69" s="7" t="inlineStr">
        <is>
          <t>5JN1</t>
        </is>
      </c>
      <c r="B69" s="26" t="n">
        <v>0</v>
      </c>
      <c r="C69" s="26" t="n">
        <v>1</v>
      </c>
    </row>
    <row r="70" ht="19" customHeight="1">
      <c r="A70" s="16" t="inlineStr">
        <is>
          <t>5KM1</t>
        </is>
      </c>
      <c r="B70" s="24" t="n">
        <v>0</v>
      </c>
      <c r="C70" s="24" t="n">
        <v>2</v>
      </c>
    </row>
    <row r="71" ht="19" customHeight="1">
      <c r="A71" s="7" t="inlineStr">
        <is>
          <t>5KM2</t>
        </is>
      </c>
      <c r="B71" s="26" t="n">
        <v>0</v>
      </c>
      <c r="C71" s="26" t="n">
        <v>2</v>
      </c>
    </row>
    <row r="72" ht="19" customHeight="1">
      <c r="A72" s="16" t="inlineStr">
        <is>
          <t>60C1</t>
        </is>
      </c>
      <c r="B72" s="24" t="n">
        <v>5</v>
      </c>
      <c r="C72" s="24" t="n">
        <v>21</v>
      </c>
    </row>
    <row r="73" ht="19" customHeight="1">
      <c r="A73" s="7" t="inlineStr">
        <is>
          <t>60C2</t>
        </is>
      </c>
      <c r="B73" s="26" t="n">
        <v>13</v>
      </c>
      <c r="C73" s="26" t="n">
        <v>22</v>
      </c>
    </row>
    <row r="74" ht="19" customHeight="1">
      <c r="A74" s="16" t="inlineStr">
        <is>
          <t>61C1</t>
        </is>
      </c>
      <c r="B74" s="24" t="n">
        <v>0</v>
      </c>
      <c r="C74" s="24" t="n">
        <v>3</v>
      </c>
    </row>
    <row r="75" ht="19" customHeight="1">
      <c r="A75" s="7" t="inlineStr">
        <is>
          <t>61C2</t>
        </is>
      </c>
      <c r="B75" s="26" t="n">
        <v>0</v>
      </c>
      <c r="C75" s="26" t="n">
        <v>4</v>
      </c>
    </row>
    <row r="76" ht="19" customHeight="1">
      <c r="A76" s="16" t="inlineStr">
        <is>
          <t>62C1</t>
        </is>
      </c>
      <c r="B76" s="24" t="n">
        <v>0</v>
      </c>
      <c r="C76" s="24" t="n">
        <v>1</v>
      </c>
    </row>
    <row r="77" ht="19" customHeight="1">
      <c r="A77" s="7" t="inlineStr">
        <is>
          <t>62C2</t>
        </is>
      </c>
      <c r="B77" s="26" t="n">
        <v>0</v>
      </c>
      <c r="C77" s="26" t="n">
        <v>1</v>
      </c>
    </row>
    <row r="78" ht="19" customHeight="1">
      <c r="A78" s="16" t="inlineStr">
        <is>
          <t>63C1</t>
        </is>
      </c>
      <c r="B78" s="24" t="n">
        <v>0</v>
      </c>
      <c r="C78" s="24" t="n">
        <v>1</v>
      </c>
    </row>
    <row r="79" ht="19" customHeight="1">
      <c r="A79" s="7" t="inlineStr">
        <is>
          <t>63C2</t>
        </is>
      </c>
      <c r="B79" s="26" t="n">
        <v>0</v>
      </c>
      <c r="C79" s="26" t="n">
        <v>4</v>
      </c>
    </row>
    <row r="80" ht="19" customHeight="1">
      <c r="A80" s="16" t="inlineStr">
        <is>
          <t>64C1</t>
        </is>
      </c>
      <c r="B80" s="24" t="n">
        <v>0</v>
      </c>
      <c r="C80" s="24" t="n">
        <v>7</v>
      </c>
    </row>
    <row r="81" ht="19" customHeight="1">
      <c r="A81" s="7" t="inlineStr">
        <is>
          <t>66C1</t>
        </is>
      </c>
      <c r="B81" s="26" t="n">
        <v>0</v>
      </c>
      <c r="C81" s="26" t="n">
        <v>12</v>
      </c>
    </row>
    <row r="82" ht="19" customHeight="1">
      <c r="A82" s="16" t="inlineStr">
        <is>
          <t>66C2</t>
        </is>
      </c>
      <c r="B82" s="24" t="n">
        <v>0</v>
      </c>
      <c r="C82" s="24" t="n">
        <v>14</v>
      </c>
    </row>
    <row r="83" ht="19" customHeight="1">
      <c r="A83" s="7" t="inlineStr">
        <is>
          <t>67C1</t>
        </is>
      </c>
      <c r="B83" s="26" t="n">
        <v>0</v>
      </c>
      <c r="C83" s="26" t="n">
        <v>16</v>
      </c>
    </row>
    <row r="84" ht="19" customHeight="1">
      <c r="A84" s="16" t="inlineStr">
        <is>
          <t>67C2</t>
        </is>
      </c>
      <c r="B84" s="24" t="n">
        <v>0</v>
      </c>
      <c r="C84" s="24" t="n">
        <v>16</v>
      </c>
    </row>
    <row r="85" ht="19" customHeight="1">
      <c r="A85" s="7" t="inlineStr">
        <is>
          <t>6AN1</t>
        </is>
      </c>
      <c r="B85" s="26" t="n">
        <v>0</v>
      </c>
      <c r="C85" s="26" t="n">
        <v>1</v>
      </c>
    </row>
    <row r="86" ht="19" customHeight="1">
      <c r="A86" s="16" t="inlineStr">
        <is>
          <t>7KM1</t>
        </is>
      </c>
      <c r="B86" s="24" t="n">
        <v>0</v>
      </c>
      <c r="C86" s="24" t="n">
        <v>1</v>
      </c>
    </row>
    <row r="87" ht="19" customHeight="1">
      <c r="A87" s="7" t="inlineStr">
        <is>
          <t>DPV1</t>
        </is>
      </c>
      <c r="B87" s="26" t="n">
        <v>6</v>
      </c>
      <c r="C87" s="26" t="n">
        <v>11</v>
      </c>
    </row>
    <row r="88" ht="19" customHeight="1">
      <c r="A88" s="16" t="inlineStr">
        <is>
          <t>HFP1</t>
        </is>
      </c>
      <c r="B88" s="24" t="n">
        <v>0</v>
      </c>
      <c r="C88" s="24" t="n">
        <v>5</v>
      </c>
    </row>
    <row r="89" ht="19" customHeight="1">
      <c r="A89" s="7" t="inlineStr">
        <is>
          <t>HJT1</t>
        </is>
      </c>
      <c r="B89" s="26" t="n">
        <v>0</v>
      </c>
      <c r="C89" s="26" t="n">
        <v>1</v>
      </c>
    </row>
    <row r="90" ht="19" customHeight="1">
      <c r="A90" s="16" t="inlineStr">
        <is>
          <t>HKD2</t>
        </is>
      </c>
      <c r="B90" s="24" t="n">
        <v>0</v>
      </c>
      <c r="C90" s="24" t="n">
        <v>1</v>
      </c>
    </row>
    <row r="91" ht="19" customHeight="1">
      <c r="A91" s="7" t="inlineStr">
        <is>
          <t>HKM1</t>
        </is>
      </c>
      <c r="B91" s="26" t="n">
        <v>0</v>
      </c>
      <c r="C91" s="26" t="n">
        <v>4</v>
      </c>
    </row>
    <row r="92" ht="19" customHeight="1">
      <c r="A92" s="16" t="inlineStr">
        <is>
          <t>HKM2</t>
        </is>
      </c>
      <c r="B92" s="24" t="n">
        <v>14</v>
      </c>
      <c r="C92" s="24" t="n">
        <v>24</v>
      </c>
    </row>
    <row r="93" ht="19" customHeight="1">
      <c r="A93" s="7" t="inlineStr">
        <is>
          <t>HKM3</t>
        </is>
      </c>
      <c r="B93" s="26" t="n">
        <v>0</v>
      </c>
      <c r="C93" s="26" t="n">
        <v>23</v>
      </c>
    </row>
    <row r="94" ht="19" customHeight="1">
      <c r="A94" s="16" t="inlineStr">
        <is>
          <t>HKM5</t>
        </is>
      </c>
      <c r="B94" s="24" t="n">
        <v>0</v>
      </c>
      <c r="C94" s="24" t="n">
        <v>23</v>
      </c>
    </row>
    <row r="95" ht="19" customHeight="1">
      <c r="A95" s="7" t="inlineStr">
        <is>
          <t>HMG3</t>
        </is>
      </c>
      <c r="B95" s="26" t="n">
        <v>0</v>
      </c>
      <c r="C95" s="26" t="n">
        <v>1</v>
      </c>
    </row>
    <row r="96" ht="19" customHeight="1">
      <c r="A96" s="16" t="inlineStr">
        <is>
          <t>HSK1</t>
        </is>
      </c>
      <c r="B96" s="24" t="n">
        <v>0</v>
      </c>
      <c r="C96" s="24" t="n">
        <v>1</v>
      </c>
    </row>
    <row r="97" ht="19" customHeight="1">
      <c r="A97" s="7" t="inlineStr">
        <is>
          <t>HYD1</t>
        </is>
      </c>
      <c r="B97" s="26" t="n">
        <v>0</v>
      </c>
      <c r="C97" s="26" t="n">
        <v>2</v>
      </c>
    </row>
    <row r="98" ht="19" customHeight="1">
      <c r="A98" s="16" t="inlineStr">
        <is>
          <t>HYD2</t>
        </is>
      </c>
      <c r="B98" s="24" t="n">
        <v>0</v>
      </c>
      <c r="C98" s="24" t="n">
        <v>5</v>
      </c>
    </row>
    <row r="99" ht="19" customHeight="1">
      <c r="A99" s="7" t="inlineStr">
        <is>
          <t>KNV1</t>
        </is>
      </c>
      <c r="B99" s="26" t="n">
        <v>5</v>
      </c>
      <c r="C99" s="26" t="n">
        <v>8</v>
      </c>
    </row>
    <row r="100" ht="19" customHeight="1">
      <c r="A100" s="16" t="inlineStr">
        <is>
          <t>NZB4</t>
        </is>
      </c>
      <c r="B100" s="24" t="n">
        <v>0</v>
      </c>
      <c r="C100" s="24" t="n">
        <v>5</v>
      </c>
    </row>
    <row r="101" ht="19" customHeight="1">
      <c r="A101" s="7" t="inlineStr">
        <is>
          <t>NZB5</t>
        </is>
      </c>
      <c r="B101" s="26" t="n">
        <v>0</v>
      </c>
      <c r="C101" s="26" t="n">
        <v>7</v>
      </c>
    </row>
    <row r="102" ht="19" customHeight="1">
      <c r="A102" s="16" t="inlineStr">
        <is>
          <t>WPA1</t>
        </is>
      </c>
      <c r="B102" s="24" t="n">
        <v>0</v>
      </c>
      <c r="C102" s="24" t="n">
        <v>1</v>
      </c>
    </row>
    <row r="103" ht="22" customHeight="1">
      <c r="A103" s="27" t="inlineStr">
        <is>
          <t>Total</t>
        </is>
      </c>
      <c r="B103" s="29">
        <f>SUM(B5:B102)</f>
        <v/>
      </c>
      <c r="C103" s="29">
        <f>SUM(C5:C102)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4" customWidth="1" min="4" max="4"/>
    <col width="18" customWidth="1" min="5" max="5"/>
    <col width="20" customWidth="1" min="6" max="6"/>
    <col width="18" customWidth="1" min="7" max="7"/>
    <col width="16" customWidth="1" min="8" max="8"/>
    <col width="4" customWidth="1" min="9" max="9"/>
    <col width="18" customWidth="1" min="10" max="10"/>
    <col width="18" customWidth="1" min="11" max="11"/>
    <col width="18" customWidth="1" min="12" max="12"/>
    <col width="22" customWidth="1" min="13" max="13"/>
    <col width="16" customWidth="1" min="14" max="14"/>
    <col width="32" customWidth="1" min="15" max="15"/>
  </cols>
  <sheetData>
    <row r="1" ht="28" customHeight="1">
      <c r="A1" s="1" t="inlineStr">
        <is>
          <t>DEPOT SERVICE CUT REPORT: JANGAON</t>
        </is>
      </c>
    </row>
    <row r="2" ht="20" customHeight="1">
      <c r="A2" s="2" t="inlineStr">
        <is>
          <t>Period: Completed 29 Days (Like-for-Like Analysis)  |  Excluded Pending Dates: 2026-10-04  |  Source: warangal_cut_services_analysis.xlsx</t>
        </is>
      </c>
    </row>
    <row r="3" ht="22" customHeight="1">
      <c r="A3" s="33" t="inlineStr">
        <is>
          <t>DELIVERABLE 1: FULL CUT REPORT</t>
        </is>
      </c>
      <c r="E3" s="34" t="inlineStr">
        <is>
          <t>DELIVERABLE 2: REGULAR CUT SERVICES (Cut on &gt;= 10 Completed Days)</t>
        </is>
      </c>
      <c r="J3" s="35" t="inlineStr">
        <is>
          <t>DELIVERABLE 3: CLOSE MATCH PREDICTIONS (Pred &gt;= 5 &amp; Match &gt;= 70%)</t>
        </is>
      </c>
    </row>
    <row r="4" ht="25" customHeight="1">
      <c r="A4" s="4" t="inlineStr">
        <is>
          <t>Service Number</t>
        </is>
      </c>
      <c r="B4" s="6" t="inlineStr">
        <is>
          <t>Predicted Cut Count</t>
        </is>
      </c>
      <c r="C4" s="6" t="inlineStr">
        <is>
          <t>Actual Cut Count</t>
        </is>
      </c>
      <c r="E4" s="20" t="inlineStr">
        <is>
          <t>Service Number</t>
        </is>
      </c>
      <c r="F4" s="22" t="inlineStr">
        <is>
          <t>Predicted Cut Count</t>
        </is>
      </c>
      <c r="G4" s="22" t="inlineStr">
        <is>
          <t>Actual Cut Count</t>
        </is>
      </c>
      <c r="H4" s="22" t="inlineStr">
        <is>
          <t>% of Days Cut</t>
        </is>
      </c>
      <c r="J4" s="17" t="inlineStr">
        <is>
          <t>Service Number</t>
        </is>
      </c>
      <c r="K4" s="19" t="inlineStr">
        <is>
          <t>Predicted Count</t>
        </is>
      </c>
      <c r="L4" s="19" t="inlineStr">
        <is>
          <t>Actual Count</t>
        </is>
      </c>
      <c r="M4" s="19" t="inlineStr">
        <is>
          <t>Difference (Act - Pred)</t>
        </is>
      </c>
      <c r="N4" s="19" t="inlineStr">
        <is>
          <t>Match %</t>
        </is>
      </c>
      <c r="O4" s="19" t="inlineStr">
        <is>
          <t>Same-Day Coincident Cuts</t>
        </is>
      </c>
    </row>
    <row r="5" ht="19" customHeight="1">
      <c r="A5" s="7" t="inlineStr">
        <is>
          <t>2SD1</t>
        </is>
      </c>
      <c r="B5" s="26" t="n">
        <v>0</v>
      </c>
      <c r="C5" s="26" t="n">
        <v>2</v>
      </c>
      <c r="E5" s="7" t="inlineStr">
        <is>
          <t>H001</t>
        </is>
      </c>
      <c r="F5" s="26" t="n">
        <v>0</v>
      </c>
      <c r="G5" s="26" t="n">
        <v>29</v>
      </c>
      <c r="H5" s="10">
        <f>G5/29</f>
        <v/>
      </c>
      <c r="J5" s="36" t="inlineStr">
        <is>
          <t>No close matches qualified (or 0 predictions declared for depot)</t>
        </is>
      </c>
    </row>
    <row r="6" ht="19" customHeight="1">
      <c r="A6" s="16" t="inlineStr">
        <is>
          <t>B007</t>
        </is>
      </c>
      <c r="B6" s="24" t="n">
        <v>0</v>
      </c>
      <c r="C6" s="24" t="n">
        <v>1</v>
      </c>
      <c r="E6" s="16" t="inlineStr">
        <is>
          <t>B013</t>
        </is>
      </c>
      <c r="F6" s="24" t="n">
        <v>0</v>
      </c>
      <c r="G6" s="24" t="n">
        <v>28</v>
      </c>
      <c r="H6" s="14">
        <f>G6/29</f>
        <v/>
      </c>
    </row>
    <row r="7" ht="19" customHeight="1">
      <c r="A7" s="7" t="inlineStr">
        <is>
          <t>B013</t>
        </is>
      </c>
      <c r="B7" s="26" t="n">
        <v>0</v>
      </c>
      <c r="C7" s="26" t="n">
        <v>28</v>
      </c>
      <c r="E7" s="7" t="inlineStr">
        <is>
          <t>B059</t>
        </is>
      </c>
      <c r="F7" s="26" t="n">
        <v>0</v>
      </c>
      <c r="G7" s="26" t="n">
        <v>23</v>
      </c>
      <c r="H7" s="10">
        <f>G7/29</f>
        <v/>
      </c>
      <c r="J7" s="37" t="inlineStr">
        <is>
          <t>NON-QUALIFYING PREDICTED SERVICES (Did not meet Deliverable 3 criteria)</t>
        </is>
      </c>
    </row>
    <row r="8" ht="22" customHeight="1">
      <c r="A8" s="16" t="inlineStr">
        <is>
          <t>B023</t>
        </is>
      </c>
      <c r="B8" s="24" t="n">
        <v>0</v>
      </c>
      <c r="C8" s="24" t="n">
        <v>1</v>
      </c>
      <c r="E8" s="16" t="inlineStr">
        <is>
          <t>HN03</t>
        </is>
      </c>
      <c r="F8" s="24" t="n">
        <v>0</v>
      </c>
      <c r="G8" s="24" t="n">
        <v>13</v>
      </c>
      <c r="H8" s="14">
        <f>G8/29</f>
        <v/>
      </c>
      <c r="J8" s="38" t="inlineStr">
        <is>
          <t>Service</t>
        </is>
      </c>
      <c r="K8" s="39" t="inlineStr">
        <is>
          <t>Pred Count</t>
        </is>
      </c>
      <c r="L8" s="39" t="inlineStr">
        <is>
          <t>Act Count</t>
        </is>
      </c>
      <c r="M8" s="39" t="inlineStr">
        <is>
          <t>Match %</t>
        </is>
      </c>
      <c r="N8" s="39" t="inlineStr">
        <is>
          <t>Same-Day Cuts</t>
        </is>
      </c>
      <c r="O8" s="38" t="inlineStr">
        <is>
          <t>Disqualification Reason</t>
        </is>
      </c>
    </row>
    <row r="9" ht="18" customHeight="1">
      <c r="A9" s="7" t="inlineStr">
        <is>
          <t>B024</t>
        </is>
      </c>
      <c r="B9" s="26" t="n">
        <v>0</v>
      </c>
      <c r="C9" s="26" t="n">
        <v>4</v>
      </c>
      <c r="E9" s="7" t="inlineStr">
        <is>
          <t>HN14</t>
        </is>
      </c>
      <c r="F9" s="26" t="n">
        <v>0</v>
      </c>
      <c r="G9" s="26" t="n">
        <v>13</v>
      </c>
      <c r="H9" s="10">
        <f>G9/29</f>
        <v/>
      </c>
      <c r="J9" s="7" t="inlineStr">
        <is>
          <t>HN13</t>
        </is>
      </c>
      <c r="K9" s="26" t="n">
        <v>11</v>
      </c>
      <c r="L9" s="26" t="n">
        <v>7</v>
      </c>
      <c r="M9" s="10" t="n">
        <v>0.6363636363636364</v>
      </c>
      <c r="N9" s="26" t="n">
        <v>4</v>
      </c>
      <c r="O9" s="41" t="inlineStr">
        <is>
          <t>Match ratio 63.6% &lt; 70%</t>
        </is>
      </c>
    </row>
    <row r="10" ht="18" customHeight="1">
      <c r="A10" s="16" t="inlineStr">
        <is>
          <t>B026</t>
        </is>
      </c>
      <c r="B10" s="24" t="n">
        <v>0</v>
      </c>
      <c r="C10" s="24" t="n">
        <v>4</v>
      </c>
      <c r="E10" s="16" t="inlineStr">
        <is>
          <t>HN02</t>
        </is>
      </c>
      <c r="F10" s="24" t="n">
        <v>0</v>
      </c>
      <c r="G10" s="24" t="n">
        <v>12</v>
      </c>
      <c r="H10" s="14">
        <f>G10/29</f>
        <v/>
      </c>
      <c r="J10" s="16" t="inlineStr">
        <is>
          <t>JSB1</t>
        </is>
      </c>
      <c r="K10" s="24" t="n">
        <v>1</v>
      </c>
      <c r="L10" s="24" t="n">
        <v>8</v>
      </c>
      <c r="M10" s="14" t="n">
        <v>0.125</v>
      </c>
      <c r="N10" s="24" t="n">
        <v>0</v>
      </c>
      <c r="O10" s="42" t="inlineStr">
        <is>
          <t>Predicted &lt; 5 times (1); Match ratio 12.5% &lt; 70%</t>
        </is>
      </c>
    </row>
    <row r="11" ht="18" customHeight="1">
      <c r="A11" s="7" t="inlineStr">
        <is>
          <t>B029</t>
        </is>
      </c>
      <c r="B11" s="26" t="n">
        <v>0</v>
      </c>
      <c r="C11" s="26" t="n">
        <v>2</v>
      </c>
      <c r="E11" s="7" t="inlineStr">
        <is>
          <t>JG07</t>
        </is>
      </c>
      <c r="F11" s="26" t="n">
        <v>0</v>
      </c>
      <c r="G11" s="26" t="n">
        <v>12</v>
      </c>
      <c r="H11" s="10">
        <f>G11/29</f>
        <v/>
      </c>
      <c r="J11" s="7" t="inlineStr">
        <is>
          <t>W193</t>
        </is>
      </c>
      <c r="K11" s="26" t="n">
        <v>1</v>
      </c>
      <c r="L11" s="26" t="n">
        <v>9</v>
      </c>
      <c r="M11" s="10" t="n">
        <v>0.1111111111111111</v>
      </c>
      <c r="N11" s="26" t="n">
        <v>1</v>
      </c>
      <c r="O11" s="41" t="inlineStr">
        <is>
          <t>Predicted &lt; 5 times (1); Match ratio 11.1% &lt; 70%</t>
        </is>
      </c>
    </row>
    <row r="12" ht="22" customHeight="1">
      <c r="A12" s="16" t="inlineStr">
        <is>
          <t>B059</t>
        </is>
      </c>
      <c r="B12" s="24" t="n">
        <v>0</v>
      </c>
      <c r="C12" s="24" t="n">
        <v>23</v>
      </c>
      <c r="E12" s="27" t="inlineStr">
        <is>
          <t>Total</t>
        </is>
      </c>
      <c r="F12" s="29">
        <f>SUM(F5:F11)</f>
        <v/>
      </c>
      <c r="G12" s="29">
        <f>SUM(G5:G11)</f>
        <v/>
      </c>
      <c r="H12" s="31">
        <f>G12/(29*COUNTA(E5:E11))</f>
        <v/>
      </c>
    </row>
    <row r="13" ht="19" customHeight="1">
      <c r="A13" s="7" t="inlineStr">
        <is>
          <t>B163</t>
        </is>
      </c>
      <c r="B13" s="26" t="n">
        <v>0</v>
      </c>
      <c r="C13" s="26" t="n">
        <v>1</v>
      </c>
    </row>
    <row r="14" ht="19" customHeight="1">
      <c r="A14" s="16" t="inlineStr">
        <is>
          <t>BBJ1</t>
        </is>
      </c>
      <c r="B14" s="24" t="n">
        <v>0</v>
      </c>
      <c r="C14" s="24" t="n">
        <v>4</v>
      </c>
    </row>
    <row r="15" ht="19" customHeight="1">
      <c r="A15" s="7" t="inlineStr">
        <is>
          <t>BLJ1</t>
        </is>
      </c>
      <c r="B15" s="26" t="n">
        <v>0</v>
      </c>
      <c r="C15" s="26" t="n">
        <v>1</v>
      </c>
    </row>
    <row r="16" ht="19" customHeight="1">
      <c r="A16" s="16" t="inlineStr">
        <is>
          <t>BPJ2</t>
        </is>
      </c>
      <c r="B16" s="24" t="n">
        <v>0</v>
      </c>
      <c r="C16" s="24" t="n">
        <v>8</v>
      </c>
    </row>
    <row r="17" ht="19" customHeight="1">
      <c r="A17" s="7" t="inlineStr">
        <is>
          <t>BSJ1</t>
        </is>
      </c>
      <c r="B17" s="26" t="n">
        <v>0</v>
      </c>
      <c r="C17" s="26" t="n">
        <v>7</v>
      </c>
    </row>
    <row r="18" ht="19" customHeight="1">
      <c r="A18" s="16" t="inlineStr">
        <is>
          <t>BSR1</t>
        </is>
      </c>
      <c r="B18" s="24" t="n">
        <v>0</v>
      </c>
      <c r="C18" s="24" t="n">
        <v>5</v>
      </c>
    </row>
    <row r="19" ht="19" customHeight="1">
      <c r="A19" s="7" t="inlineStr">
        <is>
          <t>DDX1</t>
        </is>
      </c>
      <c r="B19" s="26" t="n">
        <v>0</v>
      </c>
      <c r="C19" s="26" t="n">
        <v>7</v>
      </c>
    </row>
    <row r="20" ht="19" customHeight="1">
      <c r="A20" s="16" t="inlineStr">
        <is>
          <t>DPH3</t>
        </is>
      </c>
      <c r="B20" s="24" t="n">
        <v>0</v>
      </c>
      <c r="C20" s="24" t="n">
        <v>1</v>
      </c>
    </row>
    <row r="21" ht="19" customHeight="1">
      <c r="A21" s="7" t="inlineStr">
        <is>
          <t>H001</t>
        </is>
      </c>
      <c r="B21" s="26" t="n">
        <v>0</v>
      </c>
      <c r="C21" s="26" t="n">
        <v>29</v>
      </c>
    </row>
    <row r="22" ht="19" customHeight="1">
      <c r="A22" s="16" t="inlineStr">
        <is>
          <t>H124</t>
        </is>
      </c>
      <c r="B22" s="24" t="n">
        <v>0</v>
      </c>
      <c r="C22" s="24" t="n">
        <v>1</v>
      </c>
    </row>
    <row r="23" ht="19" customHeight="1">
      <c r="A23" s="7" t="inlineStr">
        <is>
          <t>H202</t>
        </is>
      </c>
      <c r="B23" s="26" t="n">
        <v>0</v>
      </c>
      <c r="C23" s="26" t="n">
        <v>1</v>
      </c>
    </row>
    <row r="24" ht="19" customHeight="1">
      <c r="A24" s="16" t="inlineStr">
        <is>
          <t>HN02</t>
        </is>
      </c>
      <c r="B24" s="24" t="n">
        <v>0</v>
      </c>
      <c r="C24" s="24" t="n">
        <v>12</v>
      </c>
    </row>
    <row r="25" ht="19" customHeight="1">
      <c r="A25" s="7" t="inlineStr">
        <is>
          <t>HN03</t>
        </is>
      </c>
      <c r="B25" s="26" t="n">
        <v>0</v>
      </c>
      <c r="C25" s="26" t="n">
        <v>13</v>
      </c>
    </row>
    <row r="26" ht="19" customHeight="1">
      <c r="A26" s="16" t="inlineStr">
        <is>
          <t>HN08</t>
        </is>
      </c>
      <c r="B26" s="24" t="n">
        <v>0</v>
      </c>
      <c r="C26" s="24" t="n">
        <v>1</v>
      </c>
    </row>
    <row r="27" ht="19" customHeight="1">
      <c r="A27" s="7" t="inlineStr">
        <is>
          <t>HN11</t>
        </is>
      </c>
      <c r="B27" s="26" t="n">
        <v>0</v>
      </c>
      <c r="C27" s="26" t="n">
        <v>1</v>
      </c>
    </row>
    <row r="28" ht="19" customHeight="1">
      <c r="A28" s="16" t="inlineStr">
        <is>
          <t>HN13</t>
        </is>
      </c>
      <c r="B28" s="24" t="n">
        <v>11</v>
      </c>
      <c r="C28" s="24" t="n">
        <v>7</v>
      </c>
    </row>
    <row r="29" ht="19" customHeight="1">
      <c r="A29" s="7" t="inlineStr">
        <is>
          <t>HN14</t>
        </is>
      </c>
      <c r="B29" s="26" t="n">
        <v>0</v>
      </c>
      <c r="C29" s="26" t="n">
        <v>13</v>
      </c>
    </row>
    <row r="30" ht="19" customHeight="1">
      <c r="A30" s="16" t="inlineStr">
        <is>
          <t>HN15</t>
        </is>
      </c>
      <c r="B30" s="24" t="n">
        <v>0</v>
      </c>
      <c r="C30" s="24" t="n">
        <v>1</v>
      </c>
    </row>
    <row r="31" ht="19" customHeight="1">
      <c r="A31" s="7" t="inlineStr">
        <is>
          <t>HYD2</t>
        </is>
      </c>
      <c r="B31" s="26" t="n">
        <v>0</v>
      </c>
      <c r="C31" s="26" t="n">
        <v>2</v>
      </c>
    </row>
    <row r="32" ht="19" customHeight="1">
      <c r="A32" s="16" t="inlineStr">
        <is>
          <t>JBS8</t>
        </is>
      </c>
      <c r="B32" s="24" t="n">
        <v>0</v>
      </c>
      <c r="C32" s="24" t="n">
        <v>3</v>
      </c>
    </row>
    <row r="33" ht="19" customHeight="1">
      <c r="A33" s="7" t="inlineStr">
        <is>
          <t>JDM1</t>
        </is>
      </c>
      <c r="B33" s="26" t="n">
        <v>0</v>
      </c>
      <c r="C33" s="26" t="n">
        <v>1</v>
      </c>
    </row>
    <row r="34" ht="19" customHeight="1">
      <c r="A34" s="16" t="inlineStr">
        <is>
          <t>JFG3</t>
        </is>
      </c>
      <c r="B34" s="24" t="n">
        <v>0</v>
      </c>
      <c r="C34" s="24" t="n">
        <v>2</v>
      </c>
    </row>
    <row r="35" ht="19" customHeight="1">
      <c r="A35" s="7" t="inlineStr">
        <is>
          <t>JG03</t>
        </is>
      </c>
      <c r="B35" s="26" t="n">
        <v>0</v>
      </c>
      <c r="C35" s="26" t="n">
        <v>2</v>
      </c>
    </row>
    <row r="36" ht="19" customHeight="1">
      <c r="A36" s="16" t="inlineStr">
        <is>
          <t>JG07</t>
        </is>
      </c>
      <c r="B36" s="24" t="n">
        <v>0</v>
      </c>
      <c r="C36" s="24" t="n">
        <v>12</v>
      </c>
    </row>
    <row r="37" ht="19" customHeight="1">
      <c r="A37" s="7" t="inlineStr">
        <is>
          <t>JG25</t>
        </is>
      </c>
      <c r="B37" s="26" t="n">
        <v>0</v>
      </c>
      <c r="C37" s="26" t="n">
        <v>6</v>
      </c>
    </row>
    <row r="38" ht="19" customHeight="1">
      <c r="A38" s="16" t="inlineStr">
        <is>
          <t>JGT1</t>
        </is>
      </c>
      <c r="B38" s="24" t="n">
        <v>0</v>
      </c>
      <c r="C38" s="24" t="n">
        <v>1</v>
      </c>
    </row>
    <row r="39" ht="19" customHeight="1">
      <c r="A39" s="7" t="inlineStr">
        <is>
          <t>JGT2</t>
        </is>
      </c>
      <c r="B39" s="26" t="n">
        <v>0</v>
      </c>
      <c r="C39" s="26" t="n">
        <v>2</v>
      </c>
    </row>
    <row r="40" ht="19" customHeight="1">
      <c r="A40" s="16" t="inlineStr">
        <is>
          <t>JGT3</t>
        </is>
      </c>
      <c r="B40" s="24" t="n">
        <v>0</v>
      </c>
      <c r="C40" s="24" t="n">
        <v>6</v>
      </c>
    </row>
    <row r="41" ht="19" customHeight="1">
      <c r="A41" s="7" t="inlineStr">
        <is>
          <t>JGT4</t>
        </is>
      </c>
      <c r="B41" s="26" t="n">
        <v>0</v>
      </c>
      <c r="C41" s="26" t="n">
        <v>4</v>
      </c>
    </row>
    <row r="42" ht="19" customHeight="1">
      <c r="A42" s="16" t="inlineStr">
        <is>
          <t>JGT8</t>
        </is>
      </c>
      <c r="B42" s="24" t="n">
        <v>0</v>
      </c>
      <c r="C42" s="24" t="n">
        <v>4</v>
      </c>
    </row>
    <row r="43" ht="19" customHeight="1">
      <c r="A43" s="7" t="inlineStr">
        <is>
          <t>JH01</t>
        </is>
      </c>
      <c r="B43" s="26" t="n">
        <v>0</v>
      </c>
      <c r="C43" s="26" t="n">
        <v>4</v>
      </c>
    </row>
    <row r="44" ht="19" customHeight="1">
      <c r="A44" s="16" t="inlineStr">
        <is>
          <t>JSB1</t>
        </is>
      </c>
      <c r="B44" s="24" t="n">
        <v>1</v>
      </c>
      <c r="C44" s="24" t="n">
        <v>8</v>
      </c>
    </row>
    <row r="45" ht="19" customHeight="1">
      <c r="A45" s="7" t="inlineStr">
        <is>
          <t>JSJ1</t>
        </is>
      </c>
      <c r="B45" s="26" t="n">
        <v>0</v>
      </c>
      <c r="C45" s="26" t="n">
        <v>4</v>
      </c>
    </row>
    <row r="46" ht="19" customHeight="1">
      <c r="A46" s="16" t="inlineStr">
        <is>
          <t>KKD5</t>
        </is>
      </c>
      <c r="B46" s="24" t="n">
        <v>0</v>
      </c>
      <c r="C46" s="24" t="n">
        <v>2</v>
      </c>
    </row>
    <row r="47" ht="19" customHeight="1">
      <c r="A47" s="7" t="inlineStr">
        <is>
          <t>NZB1</t>
        </is>
      </c>
      <c r="B47" s="26" t="n">
        <v>0</v>
      </c>
      <c r="C47" s="26" t="n">
        <v>1</v>
      </c>
    </row>
    <row r="48" ht="19" customHeight="1">
      <c r="A48" s="16" t="inlineStr">
        <is>
          <t>PJG1</t>
        </is>
      </c>
      <c r="B48" s="24" t="n">
        <v>0</v>
      </c>
      <c r="C48" s="24" t="n">
        <v>1</v>
      </c>
    </row>
    <row r="49" ht="19" customHeight="1">
      <c r="A49" s="7" t="inlineStr">
        <is>
          <t>S087</t>
        </is>
      </c>
      <c r="B49" s="26" t="n">
        <v>0</v>
      </c>
      <c r="C49" s="26" t="n">
        <v>2</v>
      </c>
    </row>
    <row r="50" ht="19" customHeight="1">
      <c r="A50" s="16" t="inlineStr">
        <is>
          <t>SDP7</t>
        </is>
      </c>
      <c r="B50" s="24" t="n">
        <v>0</v>
      </c>
      <c r="C50" s="24" t="n">
        <v>1</v>
      </c>
    </row>
    <row r="51" ht="19" customHeight="1">
      <c r="A51" s="7" t="inlineStr">
        <is>
          <t>SDP8</t>
        </is>
      </c>
      <c r="B51" s="26" t="n">
        <v>0</v>
      </c>
      <c r="C51" s="26" t="n">
        <v>2</v>
      </c>
    </row>
    <row r="52" ht="19" customHeight="1">
      <c r="A52" s="16" t="inlineStr">
        <is>
          <t>SDP9</t>
        </is>
      </c>
      <c r="B52" s="24" t="n">
        <v>0</v>
      </c>
      <c r="C52" s="24" t="n">
        <v>1</v>
      </c>
    </row>
    <row r="53" ht="19" customHeight="1">
      <c r="A53" s="7" t="inlineStr">
        <is>
          <t>SMD2</t>
        </is>
      </c>
      <c r="B53" s="26" t="n">
        <v>0</v>
      </c>
      <c r="C53" s="26" t="n">
        <v>9</v>
      </c>
    </row>
    <row r="54" ht="19" customHeight="1">
      <c r="A54" s="16" t="inlineStr">
        <is>
          <t>UP12</t>
        </is>
      </c>
      <c r="B54" s="24" t="n">
        <v>0</v>
      </c>
      <c r="C54" s="24" t="n">
        <v>1</v>
      </c>
    </row>
    <row r="55" ht="19" customHeight="1">
      <c r="A55" s="7" t="inlineStr">
        <is>
          <t>UPL6</t>
        </is>
      </c>
      <c r="B55" s="26" t="n">
        <v>0</v>
      </c>
      <c r="C55" s="26" t="n">
        <v>1</v>
      </c>
    </row>
    <row r="56" ht="19" customHeight="1">
      <c r="A56" s="16" t="inlineStr">
        <is>
          <t>W193</t>
        </is>
      </c>
      <c r="B56" s="24" t="n">
        <v>1</v>
      </c>
      <c r="C56" s="24" t="n">
        <v>9</v>
      </c>
    </row>
    <row r="57" ht="19" customHeight="1">
      <c r="A57" s="7" t="inlineStr">
        <is>
          <t>W901</t>
        </is>
      </c>
      <c r="B57" s="26" t="n">
        <v>0</v>
      </c>
      <c r="C57" s="26" t="n">
        <v>1</v>
      </c>
    </row>
    <row r="58" ht="19" customHeight="1">
      <c r="A58" s="16" t="inlineStr">
        <is>
          <t>W910</t>
        </is>
      </c>
      <c r="B58" s="24" t="n">
        <v>0</v>
      </c>
      <c r="C58" s="24" t="n">
        <v>7</v>
      </c>
    </row>
    <row r="59" ht="22" customHeight="1">
      <c r="A59" s="27" t="inlineStr">
        <is>
          <t>Total</t>
        </is>
      </c>
      <c r="B59" s="29">
        <f>SUM(B5:B58)</f>
        <v/>
      </c>
      <c r="C59" s="29">
        <f>SUM(C5:C58)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4" customWidth="1" min="4" max="4"/>
    <col width="18" customWidth="1" min="5" max="5"/>
    <col width="20" customWidth="1" min="6" max="6"/>
    <col width="18" customWidth="1" min="7" max="7"/>
    <col width="16" customWidth="1" min="8" max="8"/>
    <col width="4" customWidth="1" min="9" max="9"/>
    <col width="18" customWidth="1" min="10" max="10"/>
    <col width="18" customWidth="1" min="11" max="11"/>
    <col width="18" customWidth="1" min="12" max="12"/>
    <col width="22" customWidth="1" min="13" max="13"/>
    <col width="16" customWidth="1" min="14" max="14"/>
    <col width="32" customWidth="1" min="15" max="15"/>
  </cols>
  <sheetData>
    <row r="1" ht="28" customHeight="1">
      <c r="A1" s="1" t="inlineStr">
        <is>
          <t>DEPOT SERVICE CUT REPORT: MAHABOOBABAD</t>
        </is>
      </c>
    </row>
    <row r="2" ht="20" customHeight="1">
      <c r="A2" s="2" t="inlineStr">
        <is>
          <t>Period: Completed 29 Days (Like-for-Like Analysis)  |  Excluded Pending Dates: 2026-10-04  |  Source: warangal_cut_services_analysis.xlsx</t>
        </is>
      </c>
    </row>
    <row r="3" ht="22" customHeight="1">
      <c r="A3" s="33" t="inlineStr">
        <is>
          <t>DELIVERABLE 1: FULL CUT REPORT</t>
        </is>
      </c>
      <c r="E3" s="34" t="inlineStr">
        <is>
          <t>DELIVERABLE 2: REGULAR CUT SERVICES (Cut on &gt;= 10 Completed Days)</t>
        </is>
      </c>
      <c r="J3" s="35" t="inlineStr">
        <is>
          <t>DELIVERABLE 3: CLOSE MATCH PREDICTIONS (Pred &gt;= 5 &amp; Match &gt;= 70%)</t>
        </is>
      </c>
    </row>
    <row r="4" ht="25" customHeight="1">
      <c r="A4" s="4" t="inlineStr">
        <is>
          <t>Service Number</t>
        </is>
      </c>
      <c r="B4" s="6" t="inlineStr">
        <is>
          <t>Predicted Cut Count</t>
        </is>
      </c>
      <c r="C4" s="6" t="inlineStr">
        <is>
          <t>Actual Cut Count</t>
        </is>
      </c>
      <c r="E4" s="20" t="inlineStr">
        <is>
          <t>Service Number</t>
        </is>
      </c>
      <c r="F4" s="22" t="inlineStr">
        <is>
          <t>Predicted Cut Count</t>
        </is>
      </c>
      <c r="G4" s="22" t="inlineStr">
        <is>
          <t>Actual Cut Count</t>
        </is>
      </c>
      <c r="H4" s="22" t="inlineStr">
        <is>
          <t>% of Days Cut</t>
        </is>
      </c>
      <c r="J4" s="17" t="inlineStr">
        <is>
          <t>Service Number</t>
        </is>
      </c>
      <c r="K4" s="19" t="inlineStr">
        <is>
          <t>Predicted Count</t>
        </is>
      </c>
      <c r="L4" s="19" t="inlineStr">
        <is>
          <t>Actual Count</t>
        </is>
      </c>
      <c r="M4" s="19" t="inlineStr">
        <is>
          <t>Difference (Act - Pred)</t>
        </is>
      </c>
      <c r="N4" s="19" t="inlineStr">
        <is>
          <t>Match %</t>
        </is>
      </c>
      <c r="O4" s="19" t="inlineStr">
        <is>
          <t>Same-Day Coincident Cuts</t>
        </is>
      </c>
    </row>
    <row r="5" ht="19" customHeight="1">
      <c r="A5" s="7" t="inlineStr">
        <is>
          <t>ASP8</t>
        </is>
      </c>
      <c r="B5" s="26" t="n">
        <v>0</v>
      </c>
      <c r="C5" s="26" t="n">
        <v>1</v>
      </c>
      <c r="E5" s="7" t="inlineStr">
        <is>
          <t>KM20</t>
        </is>
      </c>
      <c r="F5" s="26" t="n">
        <v>0</v>
      </c>
      <c r="G5" s="26" t="n">
        <v>28</v>
      </c>
      <c r="H5" s="10">
        <f>G5/29</f>
        <v/>
      </c>
      <c r="J5" s="7" t="inlineStr">
        <is>
          <t>BDB2</t>
        </is>
      </c>
      <c r="K5" s="26" t="n">
        <v>9</v>
      </c>
      <c r="L5" s="26" t="n">
        <v>9</v>
      </c>
      <c r="M5" s="9">
        <f>L5-K5</f>
        <v/>
      </c>
      <c r="N5" s="10">
        <f>IF(MAX(K5,L5)&gt;0, MIN(K5,L5)/MAX(K5,L5), 0)</f>
        <v/>
      </c>
      <c r="O5" s="26" t="n">
        <v>4</v>
      </c>
    </row>
    <row r="6" ht="22" customHeight="1">
      <c r="A6" s="16" t="inlineStr">
        <is>
          <t>ATC1</t>
        </is>
      </c>
      <c r="B6" s="24" t="n">
        <v>0</v>
      </c>
      <c r="C6" s="24" t="n">
        <v>2</v>
      </c>
      <c r="E6" s="16" t="inlineStr">
        <is>
          <t>BPL1</t>
        </is>
      </c>
      <c r="F6" s="24" t="n">
        <v>0</v>
      </c>
      <c r="G6" s="24" t="n">
        <v>22</v>
      </c>
      <c r="H6" s="14">
        <f>G6/29</f>
        <v/>
      </c>
      <c r="J6" s="27" t="inlineStr">
        <is>
          <t>Total</t>
        </is>
      </c>
      <c r="K6" s="29">
        <f>SUM(K5:K5)</f>
        <v/>
      </c>
      <c r="L6" s="29">
        <f>SUM(L5:L5)</f>
        <v/>
      </c>
      <c r="M6" s="30">
        <f>L6-K6</f>
        <v/>
      </c>
      <c r="N6" s="31">
        <f>IF(MAX(K6,L6)&gt;0, MIN(K6,L6)/MAX(K6,L6), 0)</f>
        <v/>
      </c>
      <c r="O6" s="29">
        <f>SUM(O5:O5)</f>
        <v/>
      </c>
    </row>
    <row r="7" ht="19" customHeight="1">
      <c r="A7" s="7" t="inlineStr">
        <is>
          <t>BDB1</t>
        </is>
      </c>
      <c r="B7" s="26" t="n">
        <v>2</v>
      </c>
      <c r="C7" s="26" t="n">
        <v>9</v>
      </c>
      <c r="E7" s="7" t="inlineStr">
        <is>
          <t>EY06</t>
        </is>
      </c>
      <c r="F7" s="26" t="n">
        <v>0</v>
      </c>
      <c r="G7" s="26" t="n">
        <v>19</v>
      </c>
      <c r="H7" s="10">
        <f>G7/29</f>
        <v/>
      </c>
    </row>
    <row r="8" ht="19" customHeight="1">
      <c r="A8" s="16" t="inlineStr">
        <is>
          <t>BDB2</t>
        </is>
      </c>
      <c r="B8" s="24" t="n">
        <v>9</v>
      </c>
      <c r="C8" s="24" t="n">
        <v>9</v>
      </c>
      <c r="E8" s="16" t="inlineStr">
        <is>
          <t>EY04</t>
        </is>
      </c>
      <c r="F8" s="24" t="n">
        <v>1</v>
      </c>
      <c r="G8" s="24" t="n">
        <v>10</v>
      </c>
      <c r="H8" s="14">
        <f>G8/29</f>
        <v/>
      </c>
      <c r="J8" s="37" t="inlineStr">
        <is>
          <t>NON-QUALIFYING PREDICTED SERVICES (Did not meet Deliverable 3 criteria)</t>
        </is>
      </c>
    </row>
    <row r="9" ht="22" customHeight="1">
      <c r="A9" s="7" t="inlineStr">
        <is>
          <t>BDB3</t>
        </is>
      </c>
      <c r="B9" s="26" t="n">
        <v>0</v>
      </c>
      <c r="C9" s="26" t="n">
        <v>9</v>
      </c>
      <c r="E9" s="7" t="inlineStr">
        <is>
          <t>BDB4</t>
        </is>
      </c>
      <c r="F9" s="26" t="n">
        <v>0</v>
      </c>
      <c r="G9" s="26" t="n">
        <v>10</v>
      </c>
      <c r="H9" s="10">
        <f>G9/29</f>
        <v/>
      </c>
      <c r="J9" s="38" t="inlineStr">
        <is>
          <t>Service</t>
        </is>
      </c>
      <c r="K9" s="39" t="inlineStr">
        <is>
          <t>Pred Count</t>
        </is>
      </c>
      <c r="L9" s="39" t="inlineStr">
        <is>
          <t>Act Count</t>
        </is>
      </c>
      <c r="M9" s="39" t="inlineStr">
        <is>
          <t>Match %</t>
        </is>
      </c>
      <c r="N9" s="39" t="inlineStr">
        <is>
          <t>Same-Day Cuts</t>
        </is>
      </c>
      <c r="O9" s="38" t="inlineStr">
        <is>
          <t>Disqualification Reason</t>
        </is>
      </c>
    </row>
    <row r="10" ht="18" customHeight="1">
      <c r="A10" s="16" t="inlineStr">
        <is>
          <t>BDB4</t>
        </is>
      </c>
      <c r="B10" s="24" t="n">
        <v>0</v>
      </c>
      <c r="C10" s="24" t="n">
        <v>10</v>
      </c>
      <c r="E10" s="27" t="inlineStr">
        <is>
          <t>Total</t>
        </is>
      </c>
      <c r="F10" s="29">
        <f>SUM(F5:F9)</f>
        <v/>
      </c>
      <c r="G10" s="29">
        <f>SUM(G5:G9)</f>
        <v/>
      </c>
      <c r="H10" s="31">
        <f>G10/(29*COUNTA(E5:E9))</f>
        <v/>
      </c>
      <c r="J10" s="16" t="inlineStr">
        <is>
          <t>BDB1</t>
        </is>
      </c>
      <c r="K10" s="24" t="n">
        <v>2</v>
      </c>
      <c r="L10" s="24" t="n">
        <v>9</v>
      </c>
      <c r="M10" s="14" t="n">
        <v>0.2222222222222222</v>
      </c>
      <c r="N10" s="24" t="n">
        <v>1</v>
      </c>
      <c r="O10" s="42" t="inlineStr">
        <is>
          <t>Predicted &lt; 5 times (2); Match ratio 22.2% &lt; 70%</t>
        </is>
      </c>
    </row>
    <row r="11" ht="18" customHeight="1">
      <c r="A11" s="7" t="inlineStr">
        <is>
          <t>BPL1</t>
        </is>
      </c>
      <c r="B11" s="26" t="n">
        <v>0</v>
      </c>
      <c r="C11" s="26" t="n">
        <v>22</v>
      </c>
      <c r="J11" s="7" t="inlineStr">
        <is>
          <t>EY04</t>
        </is>
      </c>
      <c r="K11" s="26" t="n">
        <v>1</v>
      </c>
      <c r="L11" s="26" t="n">
        <v>10</v>
      </c>
      <c r="M11" s="10" t="n">
        <v>0.1</v>
      </c>
      <c r="N11" s="26" t="n">
        <v>0</v>
      </c>
      <c r="O11" s="41" t="inlineStr">
        <is>
          <t>Predicted &lt; 5 times (1); Match ratio 10.0% &lt; 70%</t>
        </is>
      </c>
    </row>
    <row r="12" ht="18" customHeight="1">
      <c r="A12" s="16" t="inlineStr">
        <is>
          <t>CHG1</t>
        </is>
      </c>
      <c r="B12" s="24" t="n">
        <v>0</v>
      </c>
      <c r="C12" s="24" t="n">
        <v>4</v>
      </c>
      <c r="J12" s="16" t="inlineStr">
        <is>
          <t>GUM1</t>
        </is>
      </c>
      <c r="K12" s="24" t="n">
        <v>1</v>
      </c>
      <c r="L12" s="24" t="n">
        <v>3</v>
      </c>
      <c r="M12" s="14" t="n">
        <v>0.3333333333333333</v>
      </c>
      <c r="N12" s="24" t="n">
        <v>0</v>
      </c>
      <c r="O12" s="42" t="inlineStr">
        <is>
          <t>Predicted &lt; 5 times (1); Match ratio 33.3% &lt; 70%</t>
        </is>
      </c>
    </row>
    <row r="13" ht="19" customHeight="1">
      <c r="A13" s="7" t="inlineStr">
        <is>
          <t>DKL1</t>
        </is>
      </c>
      <c r="B13" s="26" t="n">
        <v>0</v>
      </c>
      <c r="C13" s="26" t="n">
        <v>4</v>
      </c>
    </row>
    <row r="14" ht="19" customHeight="1">
      <c r="A14" s="16" t="inlineStr">
        <is>
          <t>DTH1</t>
        </is>
      </c>
      <c r="B14" s="24" t="n">
        <v>0</v>
      </c>
      <c r="C14" s="24" t="n">
        <v>3</v>
      </c>
    </row>
    <row r="15" ht="19" customHeight="1">
      <c r="A15" s="7" t="inlineStr">
        <is>
          <t>DTH2</t>
        </is>
      </c>
      <c r="B15" s="26" t="n">
        <v>0</v>
      </c>
      <c r="C15" s="26" t="n">
        <v>2</v>
      </c>
    </row>
    <row r="16" ht="19" customHeight="1">
      <c r="A16" s="16" t="inlineStr">
        <is>
          <t>EY02</t>
        </is>
      </c>
      <c r="B16" s="24" t="n">
        <v>0</v>
      </c>
      <c r="C16" s="24" t="n">
        <v>1</v>
      </c>
    </row>
    <row r="17" ht="19" customHeight="1">
      <c r="A17" s="7" t="inlineStr">
        <is>
          <t>EY04</t>
        </is>
      </c>
      <c r="B17" s="26" t="n">
        <v>1</v>
      </c>
      <c r="C17" s="26" t="n">
        <v>10</v>
      </c>
    </row>
    <row r="18" ht="19" customHeight="1">
      <c r="A18" s="16" t="inlineStr">
        <is>
          <t>EY06</t>
        </is>
      </c>
      <c r="B18" s="24" t="n">
        <v>0</v>
      </c>
      <c r="C18" s="24" t="n">
        <v>19</v>
      </c>
    </row>
    <row r="19" ht="19" customHeight="1">
      <c r="A19" s="7" t="inlineStr">
        <is>
          <t>GPR1</t>
        </is>
      </c>
      <c r="B19" s="26" t="n">
        <v>0</v>
      </c>
      <c r="C19" s="26" t="n">
        <v>4</v>
      </c>
    </row>
    <row r="20" ht="19" customHeight="1">
      <c r="A20" s="16" t="inlineStr">
        <is>
          <t>GUM1</t>
        </is>
      </c>
      <c r="B20" s="24" t="n">
        <v>1</v>
      </c>
      <c r="C20" s="24" t="n">
        <v>3</v>
      </c>
    </row>
    <row r="21" ht="19" customHeight="1">
      <c r="A21" s="7" t="inlineStr">
        <is>
          <t>HYD1</t>
        </is>
      </c>
      <c r="B21" s="26" t="n">
        <v>0</v>
      </c>
      <c r="C21" s="26" t="n">
        <v>1</v>
      </c>
    </row>
    <row r="22" ht="19" customHeight="1">
      <c r="A22" s="16" t="inlineStr">
        <is>
          <t>JGT2</t>
        </is>
      </c>
      <c r="B22" s="24" t="n">
        <v>0</v>
      </c>
      <c r="C22" s="24" t="n">
        <v>1</v>
      </c>
    </row>
    <row r="23" ht="19" customHeight="1">
      <c r="A23" s="7" t="inlineStr">
        <is>
          <t>KM01</t>
        </is>
      </c>
      <c r="B23" s="26" t="n">
        <v>0</v>
      </c>
      <c r="C23" s="26" t="n">
        <v>1</v>
      </c>
    </row>
    <row r="24" ht="19" customHeight="1">
      <c r="A24" s="16" t="inlineStr">
        <is>
          <t>KM05</t>
        </is>
      </c>
      <c r="B24" s="24" t="n">
        <v>0</v>
      </c>
      <c r="C24" s="24" t="n">
        <v>1</v>
      </c>
    </row>
    <row r="25" ht="19" customHeight="1">
      <c r="A25" s="7" t="inlineStr">
        <is>
          <t>KM20</t>
        </is>
      </c>
      <c r="B25" s="26" t="n">
        <v>0</v>
      </c>
      <c r="C25" s="26" t="n">
        <v>28</v>
      </c>
    </row>
    <row r="26" ht="19" customHeight="1">
      <c r="A26" s="16" t="inlineStr">
        <is>
          <t>NH01</t>
        </is>
      </c>
      <c r="B26" s="24" t="n">
        <v>0</v>
      </c>
      <c r="C26" s="24" t="n">
        <v>1</v>
      </c>
    </row>
    <row r="27" ht="19" customHeight="1">
      <c r="A27" s="7" t="inlineStr">
        <is>
          <t>NP02</t>
        </is>
      </c>
      <c r="B27" s="26" t="n">
        <v>0</v>
      </c>
      <c r="C27" s="26" t="n">
        <v>2</v>
      </c>
    </row>
    <row r="28" ht="19" customHeight="1">
      <c r="A28" s="16" t="inlineStr">
        <is>
          <t>NP04</t>
        </is>
      </c>
      <c r="B28" s="24" t="n">
        <v>0</v>
      </c>
      <c r="C28" s="24" t="n">
        <v>1</v>
      </c>
    </row>
    <row r="29" ht="19" customHeight="1">
      <c r="A29" s="7" t="inlineStr">
        <is>
          <t>RGY1</t>
        </is>
      </c>
      <c r="B29" s="26" t="n">
        <v>0</v>
      </c>
      <c r="C29" s="26" t="n">
        <v>8</v>
      </c>
    </row>
    <row r="30" ht="19" customHeight="1">
      <c r="A30" s="16" t="inlineStr">
        <is>
          <t>TGH1</t>
        </is>
      </c>
      <c r="B30" s="24" t="n">
        <v>0</v>
      </c>
      <c r="C30" s="24" t="n">
        <v>3</v>
      </c>
    </row>
    <row r="31" ht="19" customHeight="1">
      <c r="A31" s="7" t="inlineStr">
        <is>
          <t>VTL1</t>
        </is>
      </c>
      <c r="B31" s="26" t="n">
        <v>0</v>
      </c>
      <c r="C31" s="26" t="n">
        <v>1</v>
      </c>
    </row>
    <row r="32" ht="19" customHeight="1">
      <c r="A32" s="16" t="inlineStr">
        <is>
          <t>WK01</t>
        </is>
      </c>
      <c r="B32" s="24" t="n">
        <v>0</v>
      </c>
      <c r="C32" s="24" t="n">
        <v>2</v>
      </c>
    </row>
    <row r="33" ht="19" customHeight="1">
      <c r="A33" s="7" t="inlineStr">
        <is>
          <t>WL13</t>
        </is>
      </c>
      <c r="B33" s="26" t="n">
        <v>0</v>
      </c>
      <c r="C33" s="26" t="n">
        <v>2</v>
      </c>
    </row>
    <row r="34" ht="19" customHeight="1">
      <c r="A34" s="16" t="inlineStr">
        <is>
          <t>WLK1</t>
        </is>
      </c>
      <c r="B34" s="24" t="n">
        <v>0</v>
      </c>
      <c r="C34" s="24" t="n">
        <v>1</v>
      </c>
    </row>
    <row r="35" ht="19" customHeight="1">
      <c r="A35" s="7" t="inlineStr">
        <is>
          <t>YL13</t>
        </is>
      </c>
      <c r="B35" s="26" t="n">
        <v>0</v>
      </c>
      <c r="C35" s="26" t="n">
        <v>1</v>
      </c>
    </row>
    <row r="36" ht="19" customHeight="1">
      <c r="A36" s="16" t="inlineStr">
        <is>
          <t>YS01</t>
        </is>
      </c>
      <c r="B36" s="24" t="n">
        <v>0</v>
      </c>
      <c r="C36" s="24" t="n">
        <v>4</v>
      </c>
    </row>
    <row r="37" ht="22" customHeight="1">
      <c r="A37" s="27" t="inlineStr">
        <is>
          <t>Total</t>
        </is>
      </c>
      <c r="B37" s="29">
        <f>SUM(B5:B36)</f>
        <v/>
      </c>
      <c r="C37" s="29">
        <f>SUM(C5:C36)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4" customWidth="1" min="4" max="4"/>
    <col width="18" customWidth="1" min="5" max="5"/>
    <col width="20" customWidth="1" min="6" max="6"/>
    <col width="18" customWidth="1" min="7" max="7"/>
    <col width="16" customWidth="1" min="8" max="8"/>
    <col width="4" customWidth="1" min="9" max="9"/>
    <col width="18" customWidth="1" min="10" max="10"/>
    <col width="18" customWidth="1" min="11" max="11"/>
    <col width="18" customWidth="1" min="12" max="12"/>
    <col width="22" customWidth="1" min="13" max="13"/>
    <col width="16" customWidth="1" min="14" max="14"/>
    <col width="32" customWidth="1" min="15" max="15"/>
  </cols>
  <sheetData>
    <row r="1" ht="28" customHeight="1">
      <c r="A1" s="1" t="inlineStr">
        <is>
          <t>DEPOT SERVICE CUT REPORT: NARSAMPET</t>
        </is>
      </c>
    </row>
    <row r="2" ht="20" customHeight="1">
      <c r="A2" s="2" t="inlineStr">
        <is>
          <t>Period: Completed 29 Days (Like-for-Like Analysis)  |  Excluded Pending Dates: 2026-10-04  |  Source: warangal_cut_services_analysis.xlsx</t>
        </is>
      </c>
    </row>
    <row r="3" ht="22" customHeight="1">
      <c r="A3" s="33" t="inlineStr">
        <is>
          <t>DELIVERABLE 1: FULL CUT REPORT</t>
        </is>
      </c>
      <c r="E3" s="34" t="inlineStr">
        <is>
          <t>DELIVERABLE 2: REGULAR CUT SERVICES (Cut on &gt;= 10 Completed Days)</t>
        </is>
      </c>
      <c r="J3" s="35" t="inlineStr">
        <is>
          <t>DELIVERABLE 3: CLOSE MATCH PREDICTIONS (Pred &gt;= 5 &amp; Match &gt;= 70%)</t>
        </is>
      </c>
    </row>
    <row r="4" ht="25" customHeight="1">
      <c r="A4" s="4" t="inlineStr">
        <is>
          <t>Service Number</t>
        </is>
      </c>
      <c r="B4" s="6" t="inlineStr">
        <is>
          <t>Predicted Cut Count</t>
        </is>
      </c>
      <c r="C4" s="6" t="inlineStr">
        <is>
          <t>Actual Cut Count</t>
        </is>
      </c>
      <c r="E4" s="20" t="inlineStr">
        <is>
          <t>Service Number</t>
        </is>
      </c>
      <c r="F4" s="22" t="inlineStr">
        <is>
          <t>Predicted Cut Count</t>
        </is>
      </c>
      <c r="G4" s="22" t="inlineStr">
        <is>
          <t>Actual Cut Count</t>
        </is>
      </c>
      <c r="H4" s="22" t="inlineStr">
        <is>
          <t>% of Days Cut</t>
        </is>
      </c>
      <c r="J4" s="17" t="inlineStr">
        <is>
          <t>Service Number</t>
        </is>
      </c>
      <c r="K4" s="19" t="inlineStr">
        <is>
          <t>Predicted Count</t>
        </is>
      </c>
      <c r="L4" s="19" t="inlineStr">
        <is>
          <t>Actual Count</t>
        </is>
      </c>
      <c r="M4" s="19" t="inlineStr">
        <is>
          <t>Difference (Act - Pred)</t>
        </is>
      </c>
      <c r="N4" s="19" t="inlineStr">
        <is>
          <t>Match %</t>
        </is>
      </c>
      <c r="O4" s="19" t="inlineStr">
        <is>
          <t>Same-Day Coincident Cuts</t>
        </is>
      </c>
    </row>
    <row r="5" ht="19" customHeight="1">
      <c r="A5" s="7" t="inlineStr">
        <is>
          <t>ASE1</t>
        </is>
      </c>
      <c r="B5" s="26" t="n">
        <v>0</v>
      </c>
      <c r="C5" s="26" t="n">
        <v>1</v>
      </c>
      <c r="E5" s="7" t="inlineStr">
        <is>
          <t>KLM1</t>
        </is>
      </c>
      <c r="F5" s="26" t="n">
        <v>0</v>
      </c>
      <c r="G5" s="26" t="n">
        <v>21</v>
      </c>
      <c r="H5" s="10">
        <f>G5/29</f>
        <v/>
      </c>
      <c r="J5" s="36" t="inlineStr">
        <is>
          <t>No close matches qualified (or 0 predictions declared for depot)</t>
        </is>
      </c>
    </row>
    <row r="6" ht="19" customHeight="1">
      <c r="A6" s="16" t="inlineStr">
        <is>
          <t>BCM1</t>
        </is>
      </c>
      <c r="B6" s="24" t="n">
        <v>0</v>
      </c>
      <c r="C6" s="24" t="n">
        <v>8</v>
      </c>
      <c r="E6" s="16" t="inlineStr">
        <is>
          <t>ING2</t>
        </is>
      </c>
      <c r="F6" s="24" t="n">
        <v>11</v>
      </c>
      <c r="G6" s="24" t="n">
        <v>20</v>
      </c>
      <c r="H6" s="14">
        <f>G6/29</f>
        <v/>
      </c>
    </row>
    <row r="7" ht="19" customHeight="1">
      <c r="A7" s="7" t="inlineStr">
        <is>
          <t>BCM2</t>
        </is>
      </c>
      <c r="B7" s="26" t="n">
        <v>0</v>
      </c>
      <c r="C7" s="26" t="n">
        <v>1</v>
      </c>
      <c r="E7" s="7" t="inlineStr">
        <is>
          <t>PKR1</t>
        </is>
      </c>
      <c r="F7" s="26" t="n">
        <v>0</v>
      </c>
      <c r="G7" s="26" t="n">
        <v>17</v>
      </c>
      <c r="H7" s="10">
        <f>G7/29</f>
        <v/>
      </c>
      <c r="J7" s="37" t="inlineStr">
        <is>
          <t>NON-QUALIFYING PREDICTED SERVICES (Did not meet Deliverable 3 criteria)</t>
        </is>
      </c>
    </row>
    <row r="8" ht="22" customHeight="1">
      <c r="A8" s="16" t="inlineStr">
        <is>
          <t>BRP1</t>
        </is>
      </c>
      <c r="B8" s="24" t="n">
        <v>0</v>
      </c>
      <c r="C8" s="24" t="n">
        <v>4</v>
      </c>
      <c r="E8" s="16" t="inlineStr">
        <is>
          <t>YGT1</t>
        </is>
      </c>
      <c r="F8" s="24" t="n">
        <v>0</v>
      </c>
      <c r="G8" s="24" t="n">
        <v>17</v>
      </c>
      <c r="H8" s="14">
        <f>G8/29</f>
        <v/>
      </c>
      <c r="J8" s="38" t="inlineStr">
        <is>
          <t>Service</t>
        </is>
      </c>
      <c r="K8" s="39" t="inlineStr">
        <is>
          <t>Pred Count</t>
        </is>
      </c>
      <c r="L8" s="39" t="inlineStr">
        <is>
          <t>Act Count</t>
        </is>
      </c>
      <c r="M8" s="39" t="inlineStr">
        <is>
          <t>Match %</t>
        </is>
      </c>
      <c r="N8" s="39" t="inlineStr">
        <is>
          <t>Same-Day Cuts</t>
        </is>
      </c>
      <c r="O8" s="38" t="inlineStr">
        <is>
          <t>Disqualification Reason</t>
        </is>
      </c>
    </row>
    <row r="9" ht="18" customHeight="1">
      <c r="A9" s="7" t="inlineStr">
        <is>
          <t>DRP1</t>
        </is>
      </c>
      <c r="B9" s="26" t="n">
        <v>0</v>
      </c>
      <c r="C9" s="26" t="n">
        <v>10</v>
      </c>
      <c r="E9" s="7" t="inlineStr">
        <is>
          <t>HNK1</t>
        </is>
      </c>
      <c r="F9" s="26" t="n">
        <v>0</v>
      </c>
      <c r="G9" s="26" t="n">
        <v>16</v>
      </c>
      <c r="H9" s="10">
        <f>G9/29</f>
        <v/>
      </c>
      <c r="J9" s="7" t="inlineStr">
        <is>
          <t>ING2</t>
        </is>
      </c>
      <c r="K9" s="26" t="n">
        <v>11</v>
      </c>
      <c r="L9" s="26" t="n">
        <v>20</v>
      </c>
      <c r="M9" s="10" t="n">
        <v>0.55</v>
      </c>
      <c r="N9" s="26" t="n">
        <v>8</v>
      </c>
      <c r="O9" s="41" t="inlineStr">
        <is>
          <t>Match ratio 55.0% &lt; 70%</t>
        </is>
      </c>
    </row>
    <row r="10" ht="19" customHeight="1">
      <c r="A10" s="16" t="inlineStr">
        <is>
          <t>HNE4</t>
        </is>
      </c>
      <c r="B10" s="24" t="n">
        <v>0</v>
      </c>
      <c r="C10" s="24" t="n">
        <v>1</v>
      </c>
      <c r="E10" s="16" t="inlineStr">
        <is>
          <t>NLB2</t>
        </is>
      </c>
      <c r="F10" s="24" t="n">
        <v>0</v>
      </c>
      <c r="G10" s="24" t="n">
        <v>12</v>
      </c>
      <c r="H10" s="14">
        <f>G10/29</f>
        <v/>
      </c>
    </row>
    <row r="11" ht="19" customHeight="1">
      <c r="A11" s="7" t="inlineStr">
        <is>
          <t>HNE6</t>
        </is>
      </c>
      <c r="B11" s="26" t="n">
        <v>0</v>
      </c>
      <c r="C11" s="26" t="n">
        <v>1</v>
      </c>
      <c r="E11" s="7" t="inlineStr">
        <is>
          <t>MLG3</t>
        </is>
      </c>
      <c r="F11" s="26" t="n">
        <v>0</v>
      </c>
      <c r="G11" s="26" t="n">
        <v>11</v>
      </c>
      <c r="H11" s="10">
        <f>G11/29</f>
        <v/>
      </c>
    </row>
    <row r="12" ht="19" customHeight="1">
      <c r="A12" s="16" t="inlineStr">
        <is>
          <t>HNK1</t>
        </is>
      </c>
      <c r="B12" s="24" t="n">
        <v>0</v>
      </c>
      <c r="C12" s="24" t="n">
        <v>16</v>
      </c>
      <c r="E12" s="16" t="inlineStr">
        <is>
          <t>DRP1</t>
        </is>
      </c>
      <c r="F12" s="24" t="n">
        <v>0</v>
      </c>
      <c r="G12" s="24" t="n">
        <v>10</v>
      </c>
      <c r="H12" s="14">
        <f>G12/29</f>
        <v/>
      </c>
    </row>
    <row r="13" ht="19" customHeight="1">
      <c r="A13" s="7" t="inlineStr">
        <is>
          <t>HT07</t>
        </is>
      </c>
      <c r="B13" s="26" t="n">
        <v>0</v>
      </c>
      <c r="C13" s="26" t="n">
        <v>2</v>
      </c>
      <c r="E13" s="7" t="inlineStr">
        <is>
          <t>JP01</t>
        </is>
      </c>
      <c r="F13" s="26" t="n">
        <v>0</v>
      </c>
      <c r="G13" s="26" t="n">
        <v>10</v>
      </c>
      <c r="H13" s="10">
        <f>G13/29</f>
        <v/>
      </c>
    </row>
    <row r="14" ht="22" customHeight="1">
      <c r="A14" s="16" t="inlineStr">
        <is>
          <t>HT08</t>
        </is>
      </c>
      <c r="B14" s="24" t="n">
        <v>0</v>
      </c>
      <c r="C14" s="24" t="n">
        <v>3</v>
      </c>
      <c r="E14" s="27" t="inlineStr">
        <is>
          <t>Total</t>
        </is>
      </c>
      <c r="F14" s="29">
        <f>SUM(F5:F13)</f>
        <v/>
      </c>
      <c r="G14" s="29">
        <f>SUM(G5:G13)</f>
        <v/>
      </c>
      <c r="H14" s="31">
        <f>G14/(29*COUNTA(E5:E13))</f>
        <v/>
      </c>
    </row>
    <row r="15" ht="19" customHeight="1">
      <c r="A15" s="7" t="inlineStr">
        <is>
          <t>HT09</t>
        </is>
      </c>
      <c r="B15" s="26" t="n">
        <v>0</v>
      </c>
      <c r="C15" s="26" t="n">
        <v>7</v>
      </c>
    </row>
    <row r="16" ht="19" customHeight="1">
      <c r="A16" s="16" t="inlineStr">
        <is>
          <t>ING2</t>
        </is>
      </c>
      <c r="B16" s="24" t="n">
        <v>11</v>
      </c>
      <c r="C16" s="24" t="n">
        <v>20</v>
      </c>
    </row>
    <row r="17" ht="19" customHeight="1">
      <c r="A17" s="7" t="inlineStr">
        <is>
          <t>JP01</t>
        </is>
      </c>
      <c r="B17" s="26" t="n">
        <v>0</v>
      </c>
      <c r="C17" s="26" t="n">
        <v>10</v>
      </c>
    </row>
    <row r="18" ht="19" customHeight="1">
      <c r="A18" s="16" t="inlineStr">
        <is>
          <t>KLM1</t>
        </is>
      </c>
      <c r="B18" s="24" t="n">
        <v>0</v>
      </c>
      <c r="C18" s="24" t="n">
        <v>21</v>
      </c>
    </row>
    <row r="19" ht="19" customHeight="1">
      <c r="A19" s="7" t="inlineStr">
        <is>
          <t>MDR1</t>
        </is>
      </c>
      <c r="B19" s="26" t="n">
        <v>0</v>
      </c>
      <c r="C19" s="26" t="n">
        <v>1</v>
      </c>
    </row>
    <row r="20" ht="19" customHeight="1">
      <c r="A20" s="16" t="inlineStr">
        <is>
          <t>MHB3</t>
        </is>
      </c>
      <c r="B20" s="24" t="n">
        <v>0</v>
      </c>
      <c r="C20" s="24" t="n">
        <v>7</v>
      </c>
    </row>
    <row r="21" ht="19" customHeight="1">
      <c r="A21" s="7" t="inlineStr">
        <is>
          <t>MLG2</t>
        </is>
      </c>
      <c r="B21" s="26" t="n">
        <v>0</v>
      </c>
      <c r="C21" s="26" t="n">
        <v>3</v>
      </c>
    </row>
    <row r="22" ht="19" customHeight="1">
      <c r="A22" s="16" t="inlineStr">
        <is>
          <t>MLG3</t>
        </is>
      </c>
      <c r="B22" s="24" t="n">
        <v>0</v>
      </c>
      <c r="C22" s="24" t="n">
        <v>11</v>
      </c>
    </row>
    <row r="23" ht="19" customHeight="1">
      <c r="A23" s="7" t="inlineStr">
        <is>
          <t>MLG6</t>
        </is>
      </c>
      <c r="B23" s="26" t="n">
        <v>0</v>
      </c>
      <c r="C23" s="26" t="n">
        <v>1</v>
      </c>
    </row>
    <row r="24" ht="19" customHeight="1">
      <c r="A24" s="16" t="inlineStr">
        <is>
          <t>NH01</t>
        </is>
      </c>
      <c r="B24" s="24" t="n">
        <v>0</v>
      </c>
      <c r="C24" s="24" t="n">
        <v>2</v>
      </c>
    </row>
    <row r="25" ht="19" customHeight="1">
      <c r="A25" s="7" t="inlineStr">
        <is>
          <t>NH02</t>
        </is>
      </c>
      <c r="B25" s="26" t="n">
        <v>0</v>
      </c>
      <c r="C25" s="26" t="n">
        <v>2</v>
      </c>
    </row>
    <row r="26" ht="19" customHeight="1">
      <c r="A26" s="16" t="inlineStr">
        <is>
          <t>NH04</t>
        </is>
      </c>
      <c r="B26" s="24" t="n">
        <v>0</v>
      </c>
      <c r="C26" s="24" t="n">
        <v>2</v>
      </c>
    </row>
    <row r="27" ht="19" customHeight="1">
      <c r="A27" s="7" t="inlineStr">
        <is>
          <t>NH05</t>
        </is>
      </c>
      <c r="B27" s="26" t="n">
        <v>0</v>
      </c>
      <c r="C27" s="26" t="n">
        <v>1</v>
      </c>
    </row>
    <row r="28" ht="19" customHeight="1">
      <c r="A28" s="16" t="inlineStr">
        <is>
          <t>NLB2</t>
        </is>
      </c>
      <c r="B28" s="24" t="n">
        <v>0</v>
      </c>
      <c r="C28" s="24" t="n">
        <v>12</v>
      </c>
    </row>
    <row r="29" ht="19" customHeight="1">
      <c r="A29" s="7" t="inlineStr">
        <is>
          <t>NUE1</t>
        </is>
      </c>
      <c r="B29" s="26" t="n">
        <v>0</v>
      </c>
      <c r="C29" s="26" t="n">
        <v>2</v>
      </c>
    </row>
    <row r="30" ht="19" customHeight="1">
      <c r="A30" s="16" t="inlineStr">
        <is>
          <t>OTI1</t>
        </is>
      </c>
      <c r="B30" s="24" t="n">
        <v>0</v>
      </c>
      <c r="C30" s="24" t="n">
        <v>6</v>
      </c>
    </row>
    <row r="31" ht="19" customHeight="1">
      <c r="A31" s="7" t="inlineStr">
        <is>
          <t>PKR1</t>
        </is>
      </c>
      <c r="B31" s="26" t="n">
        <v>0</v>
      </c>
      <c r="C31" s="26" t="n">
        <v>17</v>
      </c>
    </row>
    <row r="32" ht="19" customHeight="1">
      <c r="A32" s="16" t="inlineStr">
        <is>
          <t>PPT1</t>
        </is>
      </c>
      <c r="B32" s="24" t="n">
        <v>0</v>
      </c>
      <c r="C32" s="24" t="n">
        <v>7</v>
      </c>
    </row>
    <row r="33" ht="19" customHeight="1">
      <c r="A33" s="7" t="inlineStr">
        <is>
          <t>RMP1</t>
        </is>
      </c>
      <c r="B33" s="26" t="n">
        <v>0</v>
      </c>
      <c r="C33" s="26" t="n">
        <v>7</v>
      </c>
    </row>
    <row r="34" ht="19" customHeight="1">
      <c r="A34" s="16" t="inlineStr">
        <is>
          <t>TRR1</t>
        </is>
      </c>
      <c r="B34" s="24" t="n">
        <v>0</v>
      </c>
      <c r="C34" s="24" t="n">
        <v>6</v>
      </c>
    </row>
    <row r="35" ht="19" customHeight="1">
      <c r="A35" s="7" t="inlineStr">
        <is>
          <t>TRR2</t>
        </is>
      </c>
      <c r="B35" s="26" t="n">
        <v>0</v>
      </c>
      <c r="C35" s="26" t="n">
        <v>3</v>
      </c>
    </row>
    <row r="36" ht="19" customHeight="1">
      <c r="A36" s="16" t="inlineStr">
        <is>
          <t>TRR3</t>
        </is>
      </c>
      <c r="B36" s="24" t="n">
        <v>0</v>
      </c>
      <c r="C36" s="24" t="n">
        <v>1</v>
      </c>
    </row>
    <row r="37" ht="19" customHeight="1">
      <c r="A37" s="7" t="inlineStr">
        <is>
          <t>TVP1</t>
        </is>
      </c>
      <c r="B37" s="26" t="n">
        <v>0</v>
      </c>
      <c r="C37" s="26" t="n">
        <v>4</v>
      </c>
    </row>
    <row r="38" ht="19" customHeight="1">
      <c r="A38" s="16" t="inlineStr">
        <is>
          <t>VWA1</t>
        </is>
      </c>
      <c r="B38" s="24" t="n">
        <v>0</v>
      </c>
      <c r="C38" s="24" t="n">
        <v>2</v>
      </c>
    </row>
    <row r="39" ht="19" customHeight="1">
      <c r="A39" s="7" t="inlineStr">
        <is>
          <t>YGD1</t>
        </is>
      </c>
      <c r="B39" s="26" t="n">
        <v>0</v>
      </c>
      <c r="C39" s="26" t="n">
        <v>3</v>
      </c>
    </row>
    <row r="40" ht="19" customHeight="1">
      <c r="A40" s="16" t="inlineStr">
        <is>
          <t>YGT1</t>
        </is>
      </c>
      <c r="B40" s="24" t="n">
        <v>0</v>
      </c>
      <c r="C40" s="24" t="n">
        <v>17</v>
      </c>
    </row>
    <row r="41" ht="22" customHeight="1">
      <c r="A41" s="27" t="inlineStr">
        <is>
          <t>Total</t>
        </is>
      </c>
      <c r="B41" s="29">
        <f>SUM(B5:B40)</f>
        <v/>
      </c>
      <c r="C41" s="29">
        <f>SUM(C5:C40)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4" customWidth="1" min="4" max="4"/>
    <col width="18" customWidth="1" min="5" max="5"/>
    <col width="20" customWidth="1" min="6" max="6"/>
    <col width="18" customWidth="1" min="7" max="7"/>
    <col width="16" customWidth="1" min="8" max="8"/>
    <col width="4" customWidth="1" min="9" max="9"/>
    <col width="18" customWidth="1" min="10" max="10"/>
    <col width="18" customWidth="1" min="11" max="11"/>
    <col width="18" customWidth="1" min="12" max="12"/>
    <col width="22" customWidth="1" min="13" max="13"/>
    <col width="16" customWidth="1" min="14" max="14"/>
    <col width="32" customWidth="1" min="15" max="15"/>
  </cols>
  <sheetData>
    <row r="1" ht="28" customHeight="1">
      <c r="A1" s="1" t="inlineStr">
        <is>
          <t>DEPOT SERVICE CUT REPORT: PARKAL</t>
        </is>
      </c>
    </row>
    <row r="2" ht="20" customHeight="1">
      <c r="A2" s="2" t="inlineStr">
        <is>
          <t>Period: Completed 29 Days (Like-for-Like Analysis)  |  Excluded Pending Dates: 2026-10-04  |  Source: warangal_cut_services_analysis.xlsx</t>
        </is>
      </c>
    </row>
    <row r="3" ht="22" customHeight="1">
      <c r="A3" s="33" t="inlineStr">
        <is>
          <t>DELIVERABLE 1: FULL CUT REPORT</t>
        </is>
      </c>
      <c r="E3" s="34" t="inlineStr">
        <is>
          <t>DELIVERABLE 2: REGULAR CUT SERVICES (Cut on &gt;= 10 Completed Days)</t>
        </is>
      </c>
      <c r="J3" s="35" t="inlineStr">
        <is>
          <t>DELIVERABLE 3: CLOSE MATCH PREDICTIONS (Pred &gt;= 5 &amp; Match &gt;= 70%)</t>
        </is>
      </c>
    </row>
    <row r="4" ht="25" customHeight="1">
      <c r="A4" s="4" t="inlineStr">
        <is>
          <t>Service Number</t>
        </is>
      </c>
      <c r="B4" s="6" t="inlineStr">
        <is>
          <t>Predicted Cut Count</t>
        </is>
      </c>
      <c r="C4" s="6" t="inlineStr">
        <is>
          <t>Actual Cut Count</t>
        </is>
      </c>
      <c r="E4" s="20" t="inlineStr">
        <is>
          <t>Service Number</t>
        </is>
      </c>
      <c r="F4" s="22" t="inlineStr">
        <is>
          <t>Predicted Cut Count</t>
        </is>
      </c>
      <c r="G4" s="22" t="inlineStr">
        <is>
          <t>Actual Cut Count</t>
        </is>
      </c>
      <c r="H4" s="22" t="inlineStr">
        <is>
          <t>% of Days Cut</t>
        </is>
      </c>
      <c r="J4" s="17" t="inlineStr">
        <is>
          <t>Service Number</t>
        </is>
      </c>
      <c r="K4" s="19" t="inlineStr">
        <is>
          <t>Predicted Count</t>
        </is>
      </c>
      <c r="L4" s="19" t="inlineStr">
        <is>
          <t>Actual Count</t>
        </is>
      </c>
      <c r="M4" s="19" t="inlineStr">
        <is>
          <t>Difference (Act - Pred)</t>
        </is>
      </c>
      <c r="N4" s="19" t="inlineStr">
        <is>
          <t>Match %</t>
        </is>
      </c>
      <c r="O4" s="19" t="inlineStr">
        <is>
          <t>Same-Day Coincident Cuts</t>
        </is>
      </c>
    </row>
    <row r="5" ht="19" customHeight="1">
      <c r="A5" s="7" t="inlineStr">
        <is>
          <t>BCM3</t>
        </is>
      </c>
      <c r="B5" s="26" t="n">
        <v>0</v>
      </c>
      <c r="C5" s="26" t="n">
        <v>1</v>
      </c>
      <c r="E5" s="7" t="inlineStr">
        <is>
          <t>GM03</t>
        </is>
      </c>
      <c r="F5" s="26" t="n">
        <v>13</v>
      </c>
      <c r="G5" s="26" t="n">
        <v>23</v>
      </c>
      <c r="H5" s="10">
        <f>G5/29</f>
        <v/>
      </c>
      <c r="J5" s="36" t="inlineStr">
        <is>
          <t>No close matches qualified (or 0 predictions declared for depot)</t>
        </is>
      </c>
    </row>
    <row r="6" ht="19" customHeight="1">
      <c r="A6" s="16" t="inlineStr">
        <is>
          <t>BCM4</t>
        </is>
      </c>
      <c r="B6" s="24" t="n">
        <v>0</v>
      </c>
      <c r="C6" s="24" t="n">
        <v>1</v>
      </c>
      <c r="E6" s="16" t="inlineStr">
        <is>
          <t>NP02</t>
        </is>
      </c>
      <c r="F6" s="24" t="n">
        <v>13</v>
      </c>
      <c r="G6" s="24" t="n">
        <v>23</v>
      </c>
      <c r="H6" s="14">
        <f>G6/29</f>
        <v/>
      </c>
    </row>
    <row r="7" ht="19" customHeight="1">
      <c r="A7" s="7" t="inlineStr">
        <is>
          <t>GM01</t>
        </is>
      </c>
      <c r="B7" s="26" t="n">
        <v>0</v>
      </c>
      <c r="C7" s="26" t="n">
        <v>2</v>
      </c>
      <c r="E7" s="7" t="inlineStr">
        <is>
          <t>PHN4</t>
        </is>
      </c>
      <c r="F7" s="26" t="n">
        <v>0</v>
      </c>
      <c r="G7" s="26" t="n">
        <v>21</v>
      </c>
      <c r="H7" s="10">
        <f>G7/29</f>
        <v/>
      </c>
      <c r="J7" s="37" t="inlineStr">
        <is>
          <t>NON-QUALIFYING PREDICTED SERVICES (Did not meet Deliverable 3 criteria)</t>
        </is>
      </c>
    </row>
    <row r="8" ht="22" customHeight="1">
      <c r="A8" s="16" t="inlineStr">
        <is>
          <t>GM03</t>
        </is>
      </c>
      <c r="B8" s="24" t="n">
        <v>13</v>
      </c>
      <c r="C8" s="24" t="n">
        <v>23</v>
      </c>
      <c r="E8" s="16" t="inlineStr">
        <is>
          <t>PHK1</t>
        </is>
      </c>
      <c r="F8" s="24" t="n">
        <v>0</v>
      </c>
      <c r="G8" s="24" t="n">
        <v>19</v>
      </c>
      <c r="H8" s="14">
        <f>G8/29</f>
        <v/>
      </c>
      <c r="J8" s="38" t="inlineStr">
        <is>
          <t>Service</t>
        </is>
      </c>
      <c r="K8" s="39" t="inlineStr">
        <is>
          <t>Pred Count</t>
        </is>
      </c>
      <c r="L8" s="39" t="inlineStr">
        <is>
          <t>Act Count</t>
        </is>
      </c>
      <c r="M8" s="39" t="inlineStr">
        <is>
          <t>Match %</t>
        </is>
      </c>
      <c r="N8" s="39" t="inlineStr">
        <is>
          <t>Same-Day Cuts</t>
        </is>
      </c>
      <c r="O8" s="38" t="inlineStr">
        <is>
          <t>Disqualification Reason</t>
        </is>
      </c>
    </row>
    <row r="9" ht="18" customHeight="1">
      <c r="A9" s="7" t="inlineStr">
        <is>
          <t>GMH1</t>
        </is>
      </c>
      <c r="B9" s="26" t="n">
        <v>0</v>
      </c>
      <c r="C9" s="26" t="n">
        <v>5</v>
      </c>
      <c r="E9" s="7" t="inlineStr">
        <is>
          <t>HP03</t>
        </is>
      </c>
      <c r="F9" s="26" t="n">
        <v>0</v>
      </c>
      <c r="G9" s="26" t="n">
        <v>12</v>
      </c>
      <c r="H9" s="10">
        <f>G9/29</f>
        <v/>
      </c>
      <c r="J9" s="7" t="inlineStr">
        <is>
          <t>GM03</t>
        </is>
      </c>
      <c r="K9" s="26" t="n">
        <v>13</v>
      </c>
      <c r="L9" s="26" t="n">
        <v>23</v>
      </c>
      <c r="M9" s="10" t="n">
        <v>0.5652173913043478</v>
      </c>
      <c r="N9" s="26" t="n">
        <v>13</v>
      </c>
      <c r="O9" s="41" t="inlineStr">
        <is>
          <t>Match ratio 56.5% &lt; 70%</t>
        </is>
      </c>
    </row>
    <row r="10" ht="18" customHeight="1">
      <c r="A10" s="16" t="inlineStr">
        <is>
          <t>GPU1</t>
        </is>
      </c>
      <c r="B10" s="24" t="n">
        <v>0</v>
      </c>
      <c r="C10" s="24" t="n">
        <v>1</v>
      </c>
      <c r="E10" s="16" t="inlineStr">
        <is>
          <t>ML04</t>
        </is>
      </c>
      <c r="F10" s="24" t="n">
        <v>0</v>
      </c>
      <c r="G10" s="24" t="n">
        <v>12</v>
      </c>
      <c r="H10" s="14">
        <f>G10/29</f>
        <v/>
      </c>
      <c r="J10" s="16" t="inlineStr">
        <is>
          <t>NP02</t>
        </is>
      </c>
      <c r="K10" s="24" t="n">
        <v>13</v>
      </c>
      <c r="L10" s="24" t="n">
        <v>23</v>
      </c>
      <c r="M10" s="14" t="n">
        <v>0.5652173913043478</v>
      </c>
      <c r="N10" s="24" t="n">
        <v>13</v>
      </c>
      <c r="O10" s="42" t="inlineStr">
        <is>
          <t>Match ratio 56.5% &lt; 70%</t>
        </is>
      </c>
    </row>
    <row r="11" ht="18" customHeight="1">
      <c r="A11" s="7" t="inlineStr">
        <is>
          <t>HAB1</t>
        </is>
      </c>
      <c r="B11" s="26" t="n">
        <v>0</v>
      </c>
      <c r="C11" s="26" t="n">
        <v>1</v>
      </c>
      <c r="E11" s="7" t="inlineStr">
        <is>
          <t>PAH6</t>
        </is>
      </c>
      <c r="F11" s="26" t="n">
        <v>0</v>
      </c>
      <c r="G11" s="26" t="n">
        <v>12</v>
      </c>
      <c r="H11" s="10">
        <f>G11/29</f>
        <v/>
      </c>
      <c r="J11" s="7" t="inlineStr">
        <is>
          <t>LKV1</t>
        </is>
      </c>
      <c r="K11" s="26" t="n">
        <v>5</v>
      </c>
      <c r="L11" s="26" t="n">
        <v>8</v>
      </c>
      <c r="M11" s="10" t="n">
        <v>0.625</v>
      </c>
      <c r="N11" s="26" t="n">
        <v>2</v>
      </c>
      <c r="O11" s="41" t="inlineStr">
        <is>
          <t>Match ratio 62.5% &lt; 70%</t>
        </is>
      </c>
    </row>
    <row r="12" ht="19" customHeight="1">
      <c r="A12" s="16" t="inlineStr">
        <is>
          <t>HAB2</t>
        </is>
      </c>
      <c r="B12" s="24" t="n">
        <v>0</v>
      </c>
      <c r="C12" s="24" t="n">
        <v>3</v>
      </c>
      <c r="E12" s="16" t="inlineStr">
        <is>
          <t>HP02</t>
        </is>
      </c>
      <c r="F12" s="24" t="n">
        <v>0</v>
      </c>
      <c r="G12" s="24" t="n">
        <v>10</v>
      </c>
      <c r="H12" s="14">
        <f>G12/29</f>
        <v/>
      </c>
    </row>
    <row r="13" ht="22" customHeight="1">
      <c r="A13" s="7" t="inlineStr">
        <is>
          <t>HP02</t>
        </is>
      </c>
      <c r="B13" s="26" t="n">
        <v>0</v>
      </c>
      <c r="C13" s="26" t="n">
        <v>10</v>
      </c>
      <c r="E13" s="27" t="inlineStr">
        <is>
          <t>Total</t>
        </is>
      </c>
      <c r="F13" s="29">
        <f>SUM(F5:F12)</f>
        <v/>
      </c>
      <c r="G13" s="29">
        <f>SUM(G5:G12)</f>
        <v/>
      </c>
      <c r="H13" s="31">
        <f>G13/(29*COUNTA(E5:E12))</f>
        <v/>
      </c>
    </row>
    <row r="14" ht="19" customHeight="1">
      <c r="A14" s="16" t="inlineStr">
        <is>
          <t>HP03</t>
        </is>
      </c>
      <c r="B14" s="24" t="n">
        <v>0</v>
      </c>
      <c r="C14" s="24" t="n">
        <v>12</v>
      </c>
    </row>
    <row r="15" ht="19" customHeight="1">
      <c r="A15" s="7" t="inlineStr">
        <is>
          <t>HP04</t>
        </is>
      </c>
      <c r="B15" s="26" t="n">
        <v>0</v>
      </c>
      <c r="C15" s="26" t="n">
        <v>4</v>
      </c>
    </row>
    <row r="16" ht="19" customHeight="1">
      <c r="A16" s="16" t="inlineStr">
        <is>
          <t>HZ01</t>
        </is>
      </c>
      <c r="B16" s="24" t="n">
        <v>0</v>
      </c>
      <c r="C16" s="24" t="n">
        <v>2</v>
      </c>
    </row>
    <row r="17" ht="19" customHeight="1">
      <c r="A17" s="7" t="inlineStr">
        <is>
          <t>HZ07</t>
        </is>
      </c>
      <c r="B17" s="26" t="n">
        <v>0</v>
      </c>
      <c r="C17" s="26" t="n">
        <v>1</v>
      </c>
    </row>
    <row r="18" ht="19" customHeight="1">
      <c r="A18" s="16" t="inlineStr">
        <is>
          <t>KLS1</t>
        </is>
      </c>
      <c r="B18" s="24" t="n">
        <v>0</v>
      </c>
      <c r="C18" s="24" t="n">
        <v>1</v>
      </c>
    </row>
    <row r="19" ht="19" customHeight="1">
      <c r="A19" s="7" t="inlineStr">
        <is>
          <t>LKV1</t>
        </is>
      </c>
      <c r="B19" s="26" t="n">
        <v>5</v>
      </c>
      <c r="C19" s="26" t="n">
        <v>8</v>
      </c>
    </row>
    <row r="20" ht="19" customHeight="1">
      <c r="A20" s="16" t="inlineStr">
        <is>
          <t>MB01</t>
        </is>
      </c>
      <c r="B20" s="24" t="n">
        <v>0</v>
      </c>
      <c r="C20" s="24" t="n">
        <v>1</v>
      </c>
    </row>
    <row r="21" ht="19" customHeight="1">
      <c r="A21" s="7" t="inlineStr">
        <is>
          <t>MB03</t>
        </is>
      </c>
      <c r="B21" s="26" t="n">
        <v>0</v>
      </c>
      <c r="C21" s="26" t="n">
        <v>1</v>
      </c>
    </row>
    <row r="22" ht="19" customHeight="1">
      <c r="A22" s="16" t="inlineStr">
        <is>
          <t>ML04</t>
        </is>
      </c>
      <c r="B22" s="24" t="n">
        <v>0</v>
      </c>
      <c r="C22" s="24" t="n">
        <v>12</v>
      </c>
    </row>
    <row r="23" ht="19" customHeight="1">
      <c r="A23" s="7" t="inlineStr">
        <is>
          <t>ML07</t>
        </is>
      </c>
      <c r="B23" s="26" t="n">
        <v>0</v>
      </c>
      <c r="C23" s="26" t="n">
        <v>2</v>
      </c>
    </row>
    <row r="24" ht="19" customHeight="1">
      <c r="A24" s="16" t="inlineStr">
        <is>
          <t>NP01</t>
        </is>
      </c>
      <c r="B24" s="24" t="n">
        <v>0</v>
      </c>
      <c r="C24" s="24" t="n">
        <v>1</v>
      </c>
    </row>
    <row r="25" ht="19" customHeight="1">
      <c r="A25" s="7" t="inlineStr">
        <is>
          <t>NP02</t>
        </is>
      </c>
      <c r="B25" s="26" t="n">
        <v>13</v>
      </c>
      <c r="C25" s="26" t="n">
        <v>23</v>
      </c>
    </row>
    <row r="26" ht="19" customHeight="1">
      <c r="A26" s="16" t="inlineStr">
        <is>
          <t>PAH1</t>
        </is>
      </c>
      <c r="B26" s="24" t="n">
        <v>0</v>
      </c>
      <c r="C26" s="24" t="n">
        <v>1</v>
      </c>
    </row>
    <row r="27" ht="19" customHeight="1">
      <c r="A27" s="7" t="inlineStr">
        <is>
          <t>PAH3</t>
        </is>
      </c>
      <c r="B27" s="26" t="n">
        <v>0</v>
      </c>
      <c r="C27" s="26" t="n">
        <v>2</v>
      </c>
    </row>
    <row r="28" ht="19" customHeight="1">
      <c r="A28" s="16" t="inlineStr">
        <is>
          <t>PAH4</t>
        </is>
      </c>
      <c r="B28" s="24" t="n">
        <v>0</v>
      </c>
      <c r="C28" s="24" t="n">
        <v>4</v>
      </c>
    </row>
    <row r="29" ht="19" customHeight="1">
      <c r="A29" s="7" t="inlineStr">
        <is>
          <t>PAH6</t>
        </is>
      </c>
      <c r="B29" s="26" t="n">
        <v>0</v>
      </c>
      <c r="C29" s="26" t="n">
        <v>12</v>
      </c>
    </row>
    <row r="30" ht="19" customHeight="1">
      <c r="A30" s="16" t="inlineStr">
        <is>
          <t>PAH9</t>
        </is>
      </c>
      <c r="B30" s="24" t="n">
        <v>0</v>
      </c>
      <c r="C30" s="24" t="n">
        <v>1</v>
      </c>
    </row>
    <row r="31" ht="19" customHeight="1">
      <c r="A31" s="7" t="inlineStr">
        <is>
          <t>PBH1</t>
        </is>
      </c>
      <c r="B31" s="26" t="n">
        <v>0</v>
      </c>
      <c r="C31" s="26" t="n">
        <v>1</v>
      </c>
    </row>
    <row r="32" ht="19" customHeight="1">
      <c r="A32" s="16" t="inlineStr">
        <is>
          <t>PHK1</t>
        </is>
      </c>
      <c r="B32" s="24" t="n">
        <v>0</v>
      </c>
      <c r="C32" s="24" t="n">
        <v>19</v>
      </c>
    </row>
    <row r="33" ht="19" customHeight="1">
      <c r="A33" s="7" t="inlineStr">
        <is>
          <t>PHN4</t>
        </is>
      </c>
      <c r="B33" s="26" t="n">
        <v>0</v>
      </c>
      <c r="C33" s="26" t="n">
        <v>21</v>
      </c>
    </row>
    <row r="34" ht="19" customHeight="1">
      <c r="A34" s="16" t="inlineStr">
        <is>
          <t>PHN5</t>
        </is>
      </c>
      <c r="B34" s="24" t="n">
        <v>0</v>
      </c>
      <c r="C34" s="24" t="n">
        <v>3</v>
      </c>
    </row>
    <row r="35" ht="19" customHeight="1">
      <c r="A35" s="7" t="inlineStr">
        <is>
          <t>PHN6</t>
        </is>
      </c>
      <c r="B35" s="26" t="n">
        <v>0</v>
      </c>
      <c r="C35" s="26" t="n">
        <v>1</v>
      </c>
    </row>
    <row r="36" ht="19" customHeight="1">
      <c r="A36" s="16" t="inlineStr">
        <is>
          <t>PKH1</t>
        </is>
      </c>
      <c r="B36" s="24" t="n">
        <v>0</v>
      </c>
      <c r="C36" s="24" t="n">
        <v>1</v>
      </c>
    </row>
    <row r="37" ht="19" customHeight="1">
      <c r="A37" s="7" t="inlineStr">
        <is>
          <t>PKW1</t>
        </is>
      </c>
      <c r="B37" s="26" t="n">
        <v>0</v>
      </c>
      <c r="C37" s="26" t="n">
        <v>5</v>
      </c>
    </row>
    <row r="38" ht="19" customHeight="1">
      <c r="A38" s="16" t="inlineStr">
        <is>
          <t>PPW1</t>
        </is>
      </c>
      <c r="B38" s="24" t="n">
        <v>0</v>
      </c>
      <c r="C38" s="24" t="n">
        <v>3</v>
      </c>
    </row>
    <row r="39" ht="19" customHeight="1">
      <c r="A39" s="7" t="inlineStr">
        <is>
          <t>RBH1</t>
        </is>
      </c>
      <c r="B39" s="26" t="n">
        <v>0</v>
      </c>
      <c r="C39" s="26" t="n">
        <v>1</v>
      </c>
    </row>
    <row r="40" ht="19" customHeight="1">
      <c r="A40" s="16" t="inlineStr">
        <is>
          <t>RBH2</t>
        </is>
      </c>
      <c r="B40" s="24" t="n">
        <v>0</v>
      </c>
      <c r="C40" s="24" t="n">
        <v>1</v>
      </c>
    </row>
    <row r="41" ht="19" customHeight="1">
      <c r="A41" s="7" t="inlineStr">
        <is>
          <t>VK01</t>
        </is>
      </c>
      <c r="B41" s="26" t="n">
        <v>0</v>
      </c>
      <c r="C41" s="26" t="n">
        <v>1</v>
      </c>
    </row>
    <row r="42" ht="22" customHeight="1">
      <c r="A42" s="27" t="inlineStr">
        <is>
          <t>Total</t>
        </is>
      </c>
      <c r="B42" s="29">
        <f>SUM(B5:B41)</f>
        <v/>
      </c>
      <c r="C42" s="29">
        <f>SUM(C5:C41)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4" customWidth="1" min="4" max="4"/>
    <col width="18" customWidth="1" min="5" max="5"/>
    <col width="20" customWidth="1" min="6" max="6"/>
    <col width="18" customWidth="1" min="7" max="7"/>
    <col width="16" customWidth="1" min="8" max="8"/>
    <col width="4" customWidth="1" min="9" max="9"/>
    <col width="18" customWidth="1" min="10" max="10"/>
    <col width="18" customWidth="1" min="11" max="11"/>
    <col width="18" customWidth="1" min="12" max="12"/>
    <col width="22" customWidth="1" min="13" max="13"/>
    <col width="16" customWidth="1" min="14" max="14"/>
    <col width="32" customWidth="1" min="15" max="15"/>
  </cols>
  <sheetData>
    <row r="1" ht="28" customHeight="1">
      <c r="A1" s="1" t="inlineStr">
        <is>
          <t>DEPOT SERVICE CUT REPORT: THORROR</t>
        </is>
      </c>
    </row>
    <row r="2" ht="20" customHeight="1">
      <c r="A2" s="2" t="inlineStr">
        <is>
          <t>Period: Completed 29 Days (Like-for-Like Analysis)  |  Excluded Pending Dates: 2026-10-04  |  Source: warangal_cut_services_analysis.xlsx</t>
        </is>
      </c>
    </row>
    <row r="3" ht="22" customHeight="1">
      <c r="A3" s="33" t="inlineStr">
        <is>
          <t>DELIVERABLE 1: FULL CUT REPORT</t>
        </is>
      </c>
      <c r="E3" s="34" t="inlineStr">
        <is>
          <t>DELIVERABLE 2: REGULAR CUT SERVICES (Cut on &gt;= 10 Completed Days)</t>
        </is>
      </c>
      <c r="J3" s="35" t="inlineStr">
        <is>
          <t>DELIVERABLE 3: CLOSE MATCH PREDICTIONS (Pred &gt;= 5 &amp; Match &gt;= 70%)</t>
        </is>
      </c>
    </row>
    <row r="4" ht="25" customHeight="1">
      <c r="A4" s="4" t="inlineStr">
        <is>
          <t>Service Number</t>
        </is>
      </c>
      <c r="B4" s="6" t="inlineStr">
        <is>
          <t>Predicted Cut Count</t>
        </is>
      </c>
      <c r="C4" s="6" t="inlineStr">
        <is>
          <t>Actual Cut Count</t>
        </is>
      </c>
      <c r="E4" s="20" t="inlineStr">
        <is>
          <t>Service Number</t>
        </is>
      </c>
      <c r="F4" s="22" t="inlineStr">
        <is>
          <t>Predicted Cut Count</t>
        </is>
      </c>
      <c r="G4" s="22" t="inlineStr">
        <is>
          <t>Actual Cut Count</t>
        </is>
      </c>
      <c r="H4" s="22" t="inlineStr">
        <is>
          <t>% of Days Cut</t>
        </is>
      </c>
      <c r="J4" s="17" t="inlineStr">
        <is>
          <t>Service Number</t>
        </is>
      </c>
      <c r="K4" s="19" t="inlineStr">
        <is>
          <t>Predicted Count</t>
        </is>
      </c>
      <c r="L4" s="19" t="inlineStr">
        <is>
          <t>Actual Count</t>
        </is>
      </c>
      <c r="M4" s="19" t="inlineStr">
        <is>
          <t>Difference (Act - Pred)</t>
        </is>
      </c>
      <c r="N4" s="19" t="inlineStr">
        <is>
          <t>Match %</t>
        </is>
      </c>
      <c r="O4" s="19" t="inlineStr">
        <is>
          <t>Same-Day Coincident Cuts</t>
        </is>
      </c>
    </row>
    <row r="5" ht="19" customHeight="1">
      <c r="A5" s="7" t="inlineStr">
        <is>
          <t>AN02</t>
        </is>
      </c>
      <c r="B5" s="26" t="n">
        <v>0</v>
      </c>
      <c r="C5" s="26" t="n">
        <v>1</v>
      </c>
      <c r="E5" s="7" t="inlineStr">
        <is>
          <t>WLO3</t>
        </is>
      </c>
      <c r="F5" s="26" t="n">
        <v>0</v>
      </c>
      <c r="G5" s="26" t="n">
        <v>17</v>
      </c>
      <c r="H5" s="10">
        <f>G5/29</f>
        <v/>
      </c>
      <c r="J5" s="7" t="inlineStr">
        <is>
          <t>IBK1</t>
        </is>
      </c>
      <c r="K5" s="26" t="n">
        <v>17</v>
      </c>
      <c r="L5" s="26" t="n">
        <v>15</v>
      </c>
      <c r="M5" s="9">
        <f>L5-K5</f>
        <v/>
      </c>
      <c r="N5" s="10">
        <f>IF(MAX(K5,L5)&gt;0, MIN(K5,L5)/MAX(K5,L5), 0)</f>
        <v/>
      </c>
      <c r="O5" s="26" t="n">
        <v>11</v>
      </c>
    </row>
    <row r="6" ht="22" customHeight="1">
      <c r="A6" s="16" t="inlineStr">
        <is>
          <t>BBD1</t>
        </is>
      </c>
      <c r="B6" s="24" t="n">
        <v>0</v>
      </c>
      <c r="C6" s="24" t="n">
        <v>3</v>
      </c>
      <c r="E6" s="16" t="inlineStr">
        <is>
          <t>IBK1</t>
        </is>
      </c>
      <c r="F6" s="24" t="n">
        <v>17</v>
      </c>
      <c r="G6" s="24" t="n">
        <v>15</v>
      </c>
      <c r="H6" s="14">
        <f>G6/29</f>
        <v/>
      </c>
      <c r="J6" s="27" t="inlineStr">
        <is>
          <t>Total</t>
        </is>
      </c>
      <c r="K6" s="29">
        <f>SUM(K5:K5)</f>
        <v/>
      </c>
      <c r="L6" s="29">
        <f>SUM(L5:L5)</f>
        <v/>
      </c>
      <c r="M6" s="30">
        <f>L6-K6</f>
        <v/>
      </c>
      <c r="N6" s="31">
        <f>IF(MAX(K6,L6)&gt;0, MIN(K6,L6)/MAX(K6,L6), 0)</f>
        <v/>
      </c>
      <c r="O6" s="29">
        <f>SUM(O5:O5)</f>
        <v/>
      </c>
    </row>
    <row r="7" ht="19" customHeight="1">
      <c r="A7" s="7" t="inlineStr">
        <is>
          <t>BBD5</t>
        </is>
      </c>
      <c r="B7" s="26" t="n">
        <v>0</v>
      </c>
      <c r="C7" s="26" t="n">
        <v>1</v>
      </c>
      <c r="E7" s="7" t="inlineStr">
        <is>
          <t>WLO4</t>
        </is>
      </c>
      <c r="F7" s="26" t="n">
        <v>0</v>
      </c>
      <c r="G7" s="26" t="n">
        <v>12</v>
      </c>
      <c r="H7" s="10">
        <f>G7/29</f>
        <v/>
      </c>
    </row>
    <row r="8" ht="19" customHeight="1">
      <c r="A8" s="16" t="inlineStr">
        <is>
          <t>HRJ1</t>
        </is>
      </c>
      <c r="B8" s="24" t="n">
        <v>0</v>
      </c>
      <c r="C8" s="24" t="n">
        <v>4</v>
      </c>
      <c r="E8" s="16" t="inlineStr">
        <is>
          <t>PLJ1</t>
        </is>
      </c>
      <c r="F8" s="24" t="n">
        <v>0</v>
      </c>
      <c r="G8" s="24" t="n">
        <v>10</v>
      </c>
      <c r="H8" s="14">
        <f>G8/29</f>
        <v/>
      </c>
      <c r="J8" s="37" t="inlineStr">
        <is>
          <t>NON-QUALIFYING PREDICTED SERVICES (Did not meet Deliverable 3 criteria)</t>
        </is>
      </c>
    </row>
    <row r="9" ht="22" customHeight="1">
      <c r="A9" s="7" t="inlineStr">
        <is>
          <t>HSE3</t>
        </is>
      </c>
      <c r="B9" s="26" t="n">
        <v>0</v>
      </c>
      <c r="C9" s="26" t="n">
        <v>6</v>
      </c>
      <c r="E9" s="27" t="inlineStr">
        <is>
          <t>Total</t>
        </is>
      </c>
      <c r="F9" s="29">
        <f>SUM(F5:F8)</f>
        <v/>
      </c>
      <c r="G9" s="29">
        <f>SUM(G5:G8)</f>
        <v/>
      </c>
      <c r="H9" s="31">
        <f>G9/(29*COUNTA(E5:E8))</f>
        <v/>
      </c>
      <c r="J9" s="38" t="inlineStr">
        <is>
          <t>Service</t>
        </is>
      </c>
      <c r="K9" s="39" t="inlineStr">
        <is>
          <t>Pred Count</t>
        </is>
      </c>
      <c r="L9" s="39" t="inlineStr">
        <is>
          <t>Act Count</t>
        </is>
      </c>
      <c r="M9" s="39" t="inlineStr">
        <is>
          <t>Match %</t>
        </is>
      </c>
      <c r="N9" s="39" t="inlineStr">
        <is>
          <t>Same-Day Cuts</t>
        </is>
      </c>
      <c r="O9" s="38" t="inlineStr">
        <is>
          <t>Disqualification Reason</t>
        </is>
      </c>
    </row>
    <row r="10" ht="19" customHeight="1">
      <c r="A10" s="16" t="inlineStr">
        <is>
          <t>HSE4</t>
        </is>
      </c>
      <c r="B10" s="24" t="n">
        <v>0</v>
      </c>
      <c r="C10" s="24" t="n">
        <v>3</v>
      </c>
      <c r="J10" s="40" t="inlineStr">
        <is>
          <t>No predicted services or all predicted services qualified</t>
        </is>
      </c>
    </row>
    <row r="11" ht="19" customHeight="1">
      <c r="A11" s="7" t="inlineStr">
        <is>
          <t>IBK1</t>
        </is>
      </c>
      <c r="B11" s="26" t="n">
        <v>17</v>
      </c>
      <c r="C11" s="26" t="n">
        <v>15</v>
      </c>
    </row>
    <row r="12" ht="19" customHeight="1">
      <c r="A12" s="16" t="inlineStr">
        <is>
          <t>JFD1</t>
        </is>
      </c>
      <c r="B12" s="24" t="n">
        <v>0</v>
      </c>
      <c r="C12" s="24" t="n">
        <v>1</v>
      </c>
    </row>
    <row r="13" ht="19" customHeight="1">
      <c r="A13" s="7" t="inlineStr">
        <is>
          <t>JKO1</t>
        </is>
      </c>
      <c r="B13" s="26" t="n">
        <v>0</v>
      </c>
      <c r="C13" s="26" t="n">
        <v>5</v>
      </c>
    </row>
    <row r="14" ht="19" customHeight="1">
      <c r="A14" s="16" t="inlineStr">
        <is>
          <t>KM10</t>
        </is>
      </c>
      <c r="B14" s="24" t="n">
        <v>0</v>
      </c>
      <c r="C14" s="24" t="n">
        <v>2</v>
      </c>
    </row>
    <row r="15" ht="19" customHeight="1">
      <c r="A15" s="7" t="inlineStr">
        <is>
          <t>KM14</t>
        </is>
      </c>
      <c r="B15" s="26" t="n">
        <v>0</v>
      </c>
      <c r="C15" s="26" t="n">
        <v>1</v>
      </c>
    </row>
    <row r="16" ht="19" customHeight="1">
      <c r="A16" s="16" t="inlineStr">
        <is>
          <t>KMH8</t>
        </is>
      </c>
      <c r="B16" s="24" t="n">
        <v>0</v>
      </c>
      <c r="C16" s="24" t="n">
        <v>1</v>
      </c>
    </row>
    <row r="17" ht="19" customHeight="1">
      <c r="A17" s="7" t="inlineStr">
        <is>
          <t>KMO1</t>
        </is>
      </c>
      <c r="B17" s="26" t="n">
        <v>0</v>
      </c>
      <c r="C17" s="26" t="n">
        <v>2</v>
      </c>
    </row>
    <row r="18" ht="19" customHeight="1">
      <c r="A18" s="16" t="inlineStr">
        <is>
          <t>KMO2</t>
        </is>
      </c>
      <c r="B18" s="24" t="n">
        <v>0</v>
      </c>
      <c r="C18" s="24" t="n">
        <v>9</v>
      </c>
    </row>
    <row r="19" ht="19" customHeight="1">
      <c r="A19" s="7" t="inlineStr">
        <is>
          <t>KMO3</t>
        </is>
      </c>
      <c r="B19" s="26" t="n">
        <v>0</v>
      </c>
      <c r="C19" s="26" t="n">
        <v>9</v>
      </c>
    </row>
    <row r="20" ht="19" customHeight="1">
      <c r="A20" s="16" t="inlineStr">
        <is>
          <t>KMO4</t>
        </is>
      </c>
      <c r="B20" s="24" t="n">
        <v>0</v>
      </c>
      <c r="C20" s="24" t="n">
        <v>1</v>
      </c>
    </row>
    <row r="21" ht="19" customHeight="1">
      <c r="A21" s="7" t="inlineStr">
        <is>
          <t>MB05</t>
        </is>
      </c>
      <c r="B21" s="26" t="n">
        <v>0</v>
      </c>
      <c r="C21" s="26" t="n">
        <v>1</v>
      </c>
    </row>
    <row r="22" ht="19" customHeight="1">
      <c r="A22" s="16" t="inlineStr">
        <is>
          <t>MB09</t>
        </is>
      </c>
      <c r="B22" s="24" t="n">
        <v>0</v>
      </c>
      <c r="C22" s="24" t="n">
        <v>1</v>
      </c>
    </row>
    <row r="23" ht="19" customHeight="1">
      <c r="A23" s="7" t="inlineStr">
        <is>
          <t>MJK5</t>
        </is>
      </c>
      <c r="B23" s="26" t="n">
        <v>0</v>
      </c>
      <c r="C23" s="26" t="n">
        <v>1</v>
      </c>
    </row>
    <row r="24" ht="19" customHeight="1">
      <c r="A24" s="16" t="inlineStr">
        <is>
          <t>MTK1</t>
        </is>
      </c>
      <c r="B24" s="24" t="n">
        <v>0</v>
      </c>
      <c r="C24" s="24" t="n">
        <v>8</v>
      </c>
    </row>
    <row r="25" ht="19" customHeight="1">
      <c r="A25" s="7" t="inlineStr">
        <is>
          <t>MTK2</t>
        </is>
      </c>
      <c r="B25" s="26" t="n">
        <v>0</v>
      </c>
      <c r="C25" s="26" t="n">
        <v>2</v>
      </c>
    </row>
    <row r="26" ht="19" customHeight="1">
      <c r="A26" s="16" t="inlineStr">
        <is>
          <t>MTK5</t>
        </is>
      </c>
      <c r="B26" s="24" t="n">
        <v>0</v>
      </c>
      <c r="C26" s="24" t="n">
        <v>3</v>
      </c>
    </row>
    <row r="27" ht="19" customHeight="1">
      <c r="A27" s="7" t="inlineStr">
        <is>
          <t>MTK6</t>
        </is>
      </c>
      <c r="B27" s="26" t="n">
        <v>0</v>
      </c>
      <c r="C27" s="26" t="n">
        <v>1</v>
      </c>
    </row>
    <row r="28" ht="19" customHeight="1">
      <c r="A28" s="16" t="inlineStr">
        <is>
          <t>MTK7</t>
        </is>
      </c>
      <c r="B28" s="24" t="n">
        <v>0</v>
      </c>
      <c r="C28" s="24" t="n">
        <v>4</v>
      </c>
    </row>
    <row r="29" ht="19" customHeight="1">
      <c r="A29" s="7" t="inlineStr">
        <is>
          <t>NDJ1</t>
        </is>
      </c>
      <c r="B29" s="26" t="n">
        <v>0</v>
      </c>
      <c r="C29" s="26" t="n">
        <v>1</v>
      </c>
    </row>
    <row r="30" ht="19" customHeight="1">
      <c r="A30" s="16" t="inlineStr">
        <is>
          <t>NSP1</t>
        </is>
      </c>
      <c r="B30" s="24" t="n">
        <v>0</v>
      </c>
      <c r="C30" s="24" t="n">
        <v>1</v>
      </c>
    </row>
    <row r="31" ht="19" customHeight="1">
      <c r="A31" s="7" t="inlineStr">
        <is>
          <t>NSP2</t>
        </is>
      </c>
      <c r="B31" s="26" t="n">
        <v>0</v>
      </c>
      <c r="C31" s="26" t="n">
        <v>3</v>
      </c>
    </row>
    <row r="32" ht="19" customHeight="1">
      <c r="A32" s="16" t="inlineStr">
        <is>
          <t>PH03</t>
        </is>
      </c>
      <c r="B32" s="24" t="n">
        <v>0</v>
      </c>
      <c r="C32" s="24" t="n">
        <v>6</v>
      </c>
    </row>
    <row r="33" ht="19" customHeight="1">
      <c r="A33" s="7" t="inlineStr">
        <is>
          <t>PLJ1</t>
        </is>
      </c>
      <c r="B33" s="26" t="n">
        <v>0</v>
      </c>
      <c r="C33" s="26" t="n">
        <v>10</v>
      </c>
    </row>
    <row r="34" ht="19" customHeight="1">
      <c r="A34" s="16" t="inlineStr">
        <is>
          <t>PWK1</t>
        </is>
      </c>
      <c r="B34" s="24" t="n">
        <v>0</v>
      </c>
      <c r="C34" s="24" t="n">
        <v>6</v>
      </c>
    </row>
    <row r="35" ht="19" customHeight="1">
      <c r="A35" s="7" t="inlineStr">
        <is>
          <t>TUH1</t>
        </is>
      </c>
      <c r="B35" s="26" t="n">
        <v>0</v>
      </c>
      <c r="C35" s="26" t="n">
        <v>1</v>
      </c>
    </row>
    <row r="36" ht="19" customHeight="1">
      <c r="A36" s="16" t="inlineStr">
        <is>
          <t>TUH2</t>
        </is>
      </c>
      <c r="B36" s="24" t="n">
        <v>0</v>
      </c>
      <c r="C36" s="24" t="n">
        <v>1</v>
      </c>
    </row>
    <row r="37" ht="19" customHeight="1">
      <c r="A37" s="7" t="inlineStr">
        <is>
          <t>TUH3</t>
        </is>
      </c>
      <c r="B37" s="26" t="n">
        <v>0</v>
      </c>
      <c r="C37" s="26" t="n">
        <v>7</v>
      </c>
    </row>
    <row r="38" ht="19" customHeight="1">
      <c r="A38" s="16" t="inlineStr">
        <is>
          <t>TUH5</t>
        </is>
      </c>
      <c r="B38" s="24" t="n">
        <v>0</v>
      </c>
      <c r="C38" s="24" t="n">
        <v>4</v>
      </c>
    </row>
    <row r="39" ht="19" customHeight="1">
      <c r="A39" s="7" t="inlineStr">
        <is>
          <t>TUH7</t>
        </is>
      </c>
      <c r="B39" s="26" t="n">
        <v>0</v>
      </c>
      <c r="C39" s="26" t="n">
        <v>2</v>
      </c>
    </row>
    <row r="40" ht="19" customHeight="1">
      <c r="A40" s="16" t="inlineStr">
        <is>
          <t>TUH8</t>
        </is>
      </c>
      <c r="B40" s="24" t="n">
        <v>0</v>
      </c>
      <c r="C40" s="24" t="n">
        <v>1</v>
      </c>
    </row>
    <row r="41" ht="19" customHeight="1">
      <c r="A41" s="7" t="inlineStr">
        <is>
          <t>TUH9</t>
        </is>
      </c>
      <c r="B41" s="26" t="n">
        <v>0</v>
      </c>
      <c r="C41" s="26" t="n">
        <v>1</v>
      </c>
    </row>
    <row r="42" ht="19" customHeight="1">
      <c r="A42" s="16" t="inlineStr">
        <is>
          <t>TUR2</t>
        </is>
      </c>
      <c r="B42" s="24" t="n">
        <v>0</v>
      </c>
      <c r="C42" s="24" t="n">
        <v>1</v>
      </c>
    </row>
    <row r="43" ht="19" customHeight="1">
      <c r="A43" s="7" t="inlineStr">
        <is>
          <t>WL32</t>
        </is>
      </c>
      <c r="B43" s="26" t="n">
        <v>0</v>
      </c>
      <c r="C43" s="26" t="n">
        <v>3</v>
      </c>
    </row>
    <row r="44" ht="19" customHeight="1">
      <c r="A44" s="16" t="inlineStr">
        <is>
          <t>WLO3</t>
        </is>
      </c>
      <c r="B44" s="24" t="n">
        <v>0</v>
      </c>
      <c r="C44" s="24" t="n">
        <v>17</v>
      </c>
    </row>
    <row r="45" ht="19" customHeight="1">
      <c r="A45" s="7" t="inlineStr">
        <is>
          <t>WLO4</t>
        </is>
      </c>
      <c r="B45" s="26" t="n">
        <v>0</v>
      </c>
      <c r="C45" s="26" t="n">
        <v>12</v>
      </c>
    </row>
    <row r="46" ht="22" customHeight="1">
      <c r="A46" s="27" t="inlineStr">
        <is>
          <t>Total</t>
        </is>
      </c>
      <c r="B46" s="29">
        <f>SUM(B5:B45)</f>
        <v/>
      </c>
      <c r="C46" s="29">
        <f>SUM(C5:C45)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4" customWidth="1" min="4" max="4"/>
    <col width="18" customWidth="1" min="5" max="5"/>
    <col width="20" customWidth="1" min="6" max="6"/>
    <col width="18" customWidth="1" min="7" max="7"/>
    <col width="16" customWidth="1" min="8" max="8"/>
    <col width="4" customWidth="1" min="9" max="9"/>
    <col width="18" customWidth="1" min="10" max="10"/>
    <col width="18" customWidth="1" min="11" max="11"/>
    <col width="18" customWidth="1" min="12" max="12"/>
    <col width="22" customWidth="1" min="13" max="13"/>
    <col width="16" customWidth="1" min="14" max="14"/>
    <col width="32" customWidth="1" min="15" max="15"/>
  </cols>
  <sheetData>
    <row r="1" ht="28" customHeight="1">
      <c r="A1" s="1" t="inlineStr">
        <is>
          <t>DEPOT SERVICE CUT REPORT: WARANGAL-I</t>
        </is>
      </c>
    </row>
    <row r="2" ht="20" customHeight="1">
      <c r="A2" s="2" t="inlineStr">
        <is>
          <t>Period: Completed 29 Days (Like-for-Like Analysis)  |  Excluded Pending Dates: 2026-10-04  |  Source: warangal_cut_services_analysis.xlsx</t>
        </is>
      </c>
    </row>
    <row r="3" ht="22" customHeight="1">
      <c r="A3" s="33" t="inlineStr">
        <is>
          <t>DELIVERABLE 1: FULL CUT REPORT</t>
        </is>
      </c>
      <c r="E3" s="34" t="inlineStr">
        <is>
          <t>DELIVERABLE 2: REGULAR CUT SERVICES (Cut on &gt;= 10 Completed Days)</t>
        </is>
      </c>
      <c r="J3" s="35" t="inlineStr">
        <is>
          <t>DELIVERABLE 3: CLOSE MATCH PREDICTIONS (Pred &gt;= 5 &amp; Match &gt;= 70%)</t>
        </is>
      </c>
    </row>
    <row r="4" ht="25" customHeight="1">
      <c r="A4" s="4" t="inlineStr">
        <is>
          <t>Service Number</t>
        </is>
      </c>
      <c r="B4" s="6" t="inlineStr">
        <is>
          <t>Predicted Cut Count</t>
        </is>
      </c>
      <c r="C4" s="6" t="inlineStr">
        <is>
          <t>Actual Cut Count</t>
        </is>
      </c>
      <c r="E4" s="20" t="inlineStr">
        <is>
          <t>Service Number</t>
        </is>
      </c>
      <c r="F4" s="22" t="inlineStr">
        <is>
          <t>Predicted Cut Count</t>
        </is>
      </c>
      <c r="G4" s="22" t="inlineStr">
        <is>
          <t>Actual Cut Count</t>
        </is>
      </c>
      <c r="H4" s="22" t="inlineStr">
        <is>
          <t>% of Days Cut</t>
        </is>
      </c>
      <c r="J4" s="17" t="inlineStr">
        <is>
          <t>Service Number</t>
        </is>
      </c>
      <c r="K4" s="19" t="inlineStr">
        <is>
          <t>Predicted Count</t>
        </is>
      </c>
      <c r="L4" s="19" t="inlineStr">
        <is>
          <t>Actual Count</t>
        </is>
      </c>
      <c r="M4" s="19" t="inlineStr">
        <is>
          <t>Difference (Act - Pred)</t>
        </is>
      </c>
      <c r="N4" s="19" t="inlineStr">
        <is>
          <t>Match %</t>
        </is>
      </c>
      <c r="O4" s="19" t="inlineStr">
        <is>
          <t>Same-Day Coincident Cuts</t>
        </is>
      </c>
    </row>
    <row r="5" ht="19" customHeight="1">
      <c r="A5" s="7" t="inlineStr">
        <is>
          <t>AKO3</t>
        </is>
      </c>
      <c r="B5" s="26" t="n">
        <v>0</v>
      </c>
      <c r="C5" s="26" t="n">
        <v>21</v>
      </c>
      <c r="E5" s="7" t="inlineStr">
        <is>
          <t>MDR1</t>
        </is>
      </c>
      <c r="F5" s="26" t="n">
        <v>0</v>
      </c>
      <c r="G5" s="26" t="n">
        <v>28</v>
      </c>
      <c r="H5" s="10">
        <f>G5/29</f>
        <v/>
      </c>
      <c r="J5" s="36" t="inlineStr">
        <is>
          <t>No close matches qualified (or 0 predictions declared for depot)</t>
        </is>
      </c>
    </row>
    <row r="6" ht="19" customHeight="1">
      <c r="A6" s="16" t="inlineStr">
        <is>
          <t>BDE2</t>
        </is>
      </c>
      <c r="B6" s="24" t="n">
        <v>0</v>
      </c>
      <c r="C6" s="24" t="n">
        <v>1</v>
      </c>
      <c r="E6" s="16" t="inlineStr">
        <is>
          <t>ENR1</t>
        </is>
      </c>
      <c r="F6" s="24" t="n">
        <v>0</v>
      </c>
      <c r="G6" s="24" t="n">
        <v>27</v>
      </c>
      <c r="H6" s="14">
        <f>G6/29</f>
        <v/>
      </c>
    </row>
    <row r="7" ht="19" customHeight="1">
      <c r="A7" s="7" t="inlineStr">
        <is>
          <t>BDE9</t>
        </is>
      </c>
      <c r="B7" s="26" t="n">
        <v>0</v>
      </c>
      <c r="C7" s="26" t="n">
        <v>1</v>
      </c>
      <c r="E7" s="7" t="inlineStr">
        <is>
          <t>MDR2</t>
        </is>
      </c>
      <c r="F7" s="26" t="n">
        <v>0</v>
      </c>
      <c r="G7" s="26" t="n">
        <v>27</v>
      </c>
      <c r="H7" s="10">
        <f>G7/29</f>
        <v/>
      </c>
      <c r="J7" s="37" t="inlineStr">
        <is>
          <t>NON-QUALIFYING PREDICTED SERVICES (Did not meet Deliverable 3 criteria)</t>
        </is>
      </c>
    </row>
    <row r="8" ht="22" customHeight="1">
      <c r="A8" s="16" t="inlineStr">
        <is>
          <t>BGL2</t>
        </is>
      </c>
      <c r="B8" s="24" t="n">
        <v>0</v>
      </c>
      <c r="C8" s="24" t="n">
        <v>13</v>
      </c>
      <c r="E8" s="16" t="inlineStr">
        <is>
          <t>PLO3</t>
        </is>
      </c>
      <c r="F8" s="24" t="n">
        <v>0</v>
      </c>
      <c r="G8" s="24" t="n">
        <v>27</v>
      </c>
      <c r="H8" s="14">
        <f>G8/29</f>
        <v/>
      </c>
      <c r="J8" s="38" t="inlineStr">
        <is>
          <t>Service</t>
        </is>
      </c>
      <c r="K8" s="39" t="inlineStr">
        <is>
          <t>Pred Count</t>
        </is>
      </c>
      <c r="L8" s="39" t="inlineStr">
        <is>
          <t>Act Count</t>
        </is>
      </c>
      <c r="M8" s="39" t="inlineStr">
        <is>
          <t>Match %</t>
        </is>
      </c>
      <c r="N8" s="39" t="inlineStr">
        <is>
          <t>Same-Day Cuts</t>
        </is>
      </c>
      <c r="O8" s="38" t="inlineStr">
        <is>
          <t>Disqualification Reason</t>
        </is>
      </c>
    </row>
    <row r="9" ht="18" customHeight="1">
      <c r="A9" s="7" t="inlineStr">
        <is>
          <t>BLD1</t>
        </is>
      </c>
      <c r="B9" s="26" t="n">
        <v>0</v>
      </c>
      <c r="C9" s="26" t="n">
        <v>4</v>
      </c>
      <c r="E9" s="7" t="inlineStr">
        <is>
          <t>HTN1</t>
        </is>
      </c>
      <c r="F9" s="26" t="n">
        <v>0</v>
      </c>
      <c r="G9" s="26" t="n">
        <v>22</v>
      </c>
      <c r="H9" s="10">
        <f>G9/29</f>
        <v/>
      </c>
      <c r="J9" s="7" t="inlineStr">
        <is>
          <t>HKW1</t>
        </is>
      </c>
      <c r="K9" s="26" t="n">
        <v>29</v>
      </c>
      <c r="L9" s="26" t="n">
        <v>13</v>
      </c>
      <c r="M9" s="10" t="n">
        <v>0.4482758620689655</v>
      </c>
      <c r="N9" s="26" t="n">
        <v>13</v>
      </c>
      <c r="O9" s="41" t="inlineStr">
        <is>
          <t>Match ratio 44.8% &lt; 70%</t>
        </is>
      </c>
    </row>
    <row r="10" ht="18" customHeight="1">
      <c r="A10" s="16" t="inlineStr">
        <is>
          <t>BYH1</t>
        </is>
      </c>
      <c r="B10" s="24" t="n">
        <v>0</v>
      </c>
      <c r="C10" s="24" t="n">
        <v>17</v>
      </c>
      <c r="E10" s="16" t="inlineStr">
        <is>
          <t>PSR1</t>
        </is>
      </c>
      <c r="F10" s="24" t="n">
        <v>0</v>
      </c>
      <c r="G10" s="24" t="n">
        <v>22</v>
      </c>
      <c r="H10" s="14">
        <f>G10/29</f>
        <v/>
      </c>
      <c r="J10" s="16" t="inlineStr">
        <is>
          <t>HKW2</t>
        </is>
      </c>
      <c r="K10" s="24" t="n">
        <v>29</v>
      </c>
      <c r="L10" s="24" t="n">
        <v>14</v>
      </c>
      <c r="M10" s="14" t="n">
        <v>0.4827586206896552</v>
      </c>
      <c r="N10" s="24" t="n">
        <v>14</v>
      </c>
      <c r="O10" s="42" t="inlineStr">
        <is>
          <t>Match ratio 48.3% &lt; 70%</t>
        </is>
      </c>
    </row>
    <row r="11" ht="18" customHeight="1">
      <c r="A11" s="7" t="inlineStr">
        <is>
          <t>BYH2</t>
        </is>
      </c>
      <c r="B11" s="26" t="n">
        <v>0</v>
      </c>
      <c r="C11" s="26" t="n">
        <v>1</v>
      </c>
      <c r="E11" s="7" t="inlineStr">
        <is>
          <t>SD18</t>
        </is>
      </c>
      <c r="F11" s="26" t="n">
        <v>0</v>
      </c>
      <c r="G11" s="26" t="n">
        <v>22</v>
      </c>
      <c r="H11" s="10">
        <f>G11/29</f>
        <v/>
      </c>
      <c r="J11" s="7" t="inlineStr">
        <is>
          <t>HRK1</t>
        </is>
      </c>
      <c r="K11" s="26" t="n">
        <v>29</v>
      </c>
      <c r="L11" s="26" t="n">
        <v>14</v>
      </c>
      <c r="M11" s="10" t="n">
        <v>0.4827586206896552</v>
      </c>
      <c r="N11" s="26" t="n">
        <v>14</v>
      </c>
      <c r="O11" s="41" t="inlineStr">
        <is>
          <t>Match ratio 48.3% &lt; 70%</t>
        </is>
      </c>
    </row>
    <row r="12" ht="18" customHeight="1">
      <c r="A12" s="16" t="inlineStr">
        <is>
          <t>CTR1</t>
        </is>
      </c>
      <c r="B12" s="24" t="n">
        <v>0</v>
      </c>
      <c r="C12" s="24" t="n">
        <v>1</v>
      </c>
      <c r="E12" s="16" t="inlineStr">
        <is>
          <t>AKO3</t>
        </is>
      </c>
      <c r="F12" s="24" t="n">
        <v>0</v>
      </c>
      <c r="G12" s="24" t="n">
        <v>21</v>
      </c>
      <c r="H12" s="14">
        <f>G12/29</f>
        <v/>
      </c>
      <c r="J12" s="16" t="inlineStr">
        <is>
          <t>KRS1</t>
        </is>
      </c>
      <c r="K12" s="24" t="n">
        <v>11</v>
      </c>
      <c r="L12" s="24" t="n">
        <v>4</v>
      </c>
      <c r="M12" s="14" t="n">
        <v>0.3636363636363636</v>
      </c>
      <c r="N12" s="24" t="n">
        <v>0</v>
      </c>
      <c r="O12" s="42" t="inlineStr">
        <is>
          <t>Match ratio 36.4% &lt; 70%</t>
        </is>
      </c>
    </row>
    <row r="13" ht="18" customHeight="1">
      <c r="A13" s="7" t="inlineStr">
        <is>
          <t>DL10</t>
        </is>
      </c>
      <c r="B13" s="26" t="n">
        <v>0</v>
      </c>
      <c r="C13" s="26" t="n">
        <v>3</v>
      </c>
      <c r="E13" s="7" t="inlineStr">
        <is>
          <t>MPT5</t>
        </is>
      </c>
      <c r="F13" s="26" t="n">
        <v>0</v>
      </c>
      <c r="G13" s="26" t="n">
        <v>20</v>
      </c>
      <c r="H13" s="10">
        <f>G13/29</f>
        <v/>
      </c>
      <c r="J13" s="7" t="inlineStr">
        <is>
          <t>KSO1</t>
        </is>
      </c>
      <c r="K13" s="26" t="n">
        <v>2</v>
      </c>
      <c r="L13" s="26" t="n">
        <v>8</v>
      </c>
      <c r="M13" s="10" t="n">
        <v>0.25</v>
      </c>
      <c r="N13" s="26" t="n">
        <v>1</v>
      </c>
      <c r="O13" s="41" t="inlineStr">
        <is>
          <t>Predicted &lt; 5 times (2); Match ratio 25.0% &lt; 70%</t>
        </is>
      </c>
    </row>
    <row r="14" ht="19" customHeight="1">
      <c r="A14" s="16" t="inlineStr">
        <is>
          <t>DL11</t>
        </is>
      </c>
      <c r="B14" s="24" t="n">
        <v>0</v>
      </c>
      <c r="C14" s="24" t="n">
        <v>11</v>
      </c>
      <c r="E14" s="16" t="inlineStr">
        <is>
          <t>DL12</t>
        </is>
      </c>
      <c r="F14" s="24" t="n">
        <v>0</v>
      </c>
      <c r="G14" s="24" t="n">
        <v>19</v>
      </c>
      <c r="H14" s="14">
        <f>G14/29</f>
        <v/>
      </c>
    </row>
    <row r="15" ht="19" customHeight="1">
      <c r="A15" s="7" t="inlineStr">
        <is>
          <t>DL12</t>
        </is>
      </c>
      <c r="B15" s="26" t="n">
        <v>0</v>
      </c>
      <c r="C15" s="26" t="n">
        <v>19</v>
      </c>
      <c r="E15" s="7" t="inlineStr">
        <is>
          <t>TGO6</t>
        </is>
      </c>
      <c r="F15" s="26" t="n">
        <v>0</v>
      </c>
      <c r="G15" s="26" t="n">
        <v>18</v>
      </c>
      <c r="H15" s="10">
        <f>G15/29</f>
        <v/>
      </c>
    </row>
    <row r="16" ht="19" customHeight="1">
      <c r="A16" s="16" t="inlineStr">
        <is>
          <t>DLH1</t>
        </is>
      </c>
      <c r="B16" s="24" t="n">
        <v>0</v>
      </c>
      <c r="C16" s="24" t="n">
        <v>2</v>
      </c>
      <c r="E16" s="16" t="inlineStr">
        <is>
          <t>BYH1</t>
        </is>
      </c>
      <c r="F16" s="24" t="n">
        <v>0</v>
      </c>
      <c r="G16" s="24" t="n">
        <v>17</v>
      </c>
      <c r="H16" s="14">
        <f>G16/29</f>
        <v/>
      </c>
    </row>
    <row r="17" ht="19" customHeight="1">
      <c r="A17" s="7" t="inlineStr">
        <is>
          <t>DLH2</t>
        </is>
      </c>
      <c r="B17" s="26" t="n">
        <v>0</v>
      </c>
      <c r="C17" s="26" t="n">
        <v>3</v>
      </c>
      <c r="E17" s="7" t="inlineStr">
        <is>
          <t>KKP4</t>
        </is>
      </c>
      <c r="F17" s="26" t="n">
        <v>0</v>
      </c>
      <c r="G17" s="26" t="n">
        <v>17</v>
      </c>
      <c r="H17" s="10">
        <f>G17/29</f>
        <v/>
      </c>
    </row>
    <row r="18" ht="19" customHeight="1">
      <c r="A18" s="16" t="inlineStr">
        <is>
          <t>DLH3</t>
        </is>
      </c>
      <c r="B18" s="24" t="n">
        <v>0</v>
      </c>
      <c r="C18" s="24" t="n">
        <v>4</v>
      </c>
      <c r="E18" s="16" t="inlineStr">
        <is>
          <t>KKP5</t>
        </is>
      </c>
      <c r="F18" s="24" t="n">
        <v>0</v>
      </c>
      <c r="G18" s="24" t="n">
        <v>17</v>
      </c>
      <c r="H18" s="14">
        <f>G18/29</f>
        <v/>
      </c>
    </row>
    <row r="19" ht="19" customHeight="1">
      <c r="A19" s="7" t="inlineStr">
        <is>
          <t>DLH4</t>
        </is>
      </c>
      <c r="B19" s="26" t="n">
        <v>0</v>
      </c>
      <c r="C19" s="26" t="n">
        <v>7</v>
      </c>
      <c r="E19" s="7" t="inlineStr">
        <is>
          <t>M112</t>
        </is>
      </c>
      <c r="F19" s="26" t="n">
        <v>0</v>
      </c>
      <c r="G19" s="26" t="n">
        <v>17</v>
      </c>
      <c r="H19" s="10">
        <f>G19/29</f>
        <v/>
      </c>
    </row>
    <row r="20" ht="19" customHeight="1">
      <c r="A20" s="16" t="inlineStr">
        <is>
          <t>DLH5</t>
        </is>
      </c>
      <c r="B20" s="24" t="n">
        <v>0</v>
      </c>
      <c r="C20" s="24" t="n">
        <v>8</v>
      </c>
      <c r="E20" s="16" t="inlineStr">
        <is>
          <t>HKW2</t>
        </is>
      </c>
      <c r="F20" s="24" t="n">
        <v>29</v>
      </c>
      <c r="G20" s="24" t="n">
        <v>14</v>
      </c>
      <c r="H20" s="14">
        <f>G20/29</f>
        <v/>
      </c>
    </row>
    <row r="21" ht="19" customHeight="1">
      <c r="A21" s="7" t="inlineStr">
        <is>
          <t>DLH6</t>
        </is>
      </c>
      <c r="B21" s="26" t="n">
        <v>0</v>
      </c>
      <c r="C21" s="26" t="n">
        <v>12</v>
      </c>
      <c r="E21" s="7" t="inlineStr">
        <is>
          <t>HRK1</t>
        </is>
      </c>
      <c r="F21" s="26" t="n">
        <v>29</v>
      </c>
      <c r="G21" s="26" t="n">
        <v>14</v>
      </c>
      <c r="H21" s="10">
        <f>G21/29</f>
        <v/>
      </c>
    </row>
    <row r="22" ht="19" customHeight="1">
      <c r="A22" s="16" t="inlineStr">
        <is>
          <t>DLH7</t>
        </is>
      </c>
      <c r="B22" s="24" t="n">
        <v>0</v>
      </c>
      <c r="C22" s="24" t="n">
        <v>3</v>
      </c>
      <c r="E22" s="16" t="inlineStr">
        <is>
          <t>HEN2</t>
        </is>
      </c>
      <c r="F22" s="24" t="n">
        <v>0</v>
      </c>
      <c r="G22" s="24" t="n">
        <v>14</v>
      </c>
      <c r="H22" s="14">
        <f>G22/29</f>
        <v/>
      </c>
    </row>
    <row r="23" ht="19" customHeight="1">
      <c r="A23" s="7" t="inlineStr">
        <is>
          <t>DLH8</t>
        </is>
      </c>
      <c r="B23" s="26" t="n">
        <v>0</v>
      </c>
      <c r="C23" s="26" t="n">
        <v>3</v>
      </c>
      <c r="E23" s="7" t="inlineStr">
        <is>
          <t>RJ34</t>
        </is>
      </c>
      <c r="F23" s="26" t="n">
        <v>0</v>
      </c>
      <c r="G23" s="26" t="n">
        <v>14</v>
      </c>
      <c r="H23" s="10">
        <f>G23/29</f>
        <v/>
      </c>
    </row>
    <row r="24" ht="19" customHeight="1">
      <c r="A24" s="16" t="inlineStr">
        <is>
          <t>DLH9</t>
        </is>
      </c>
      <c r="B24" s="24" t="n">
        <v>0</v>
      </c>
      <c r="C24" s="24" t="n">
        <v>7</v>
      </c>
      <c r="E24" s="16" t="inlineStr">
        <is>
          <t>SDO5</t>
        </is>
      </c>
      <c r="F24" s="24" t="n">
        <v>0</v>
      </c>
      <c r="G24" s="24" t="n">
        <v>14</v>
      </c>
      <c r="H24" s="14">
        <f>G24/29</f>
        <v/>
      </c>
    </row>
    <row r="25" ht="19" customHeight="1">
      <c r="A25" s="7" t="inlineStr">
        <is>
          <t>ENR1</t>
        </is>
      </c>
      <c r="B25" s="26" t="n">
        <v>0</v>
      </c>
      <c r="C25" s="26" t="n">
        <v>27</v>
      </c>
      <c r="E25" s="7" t="inlineStr">
        <is>
          <t>HKW1</t>
        </is>
      </c>
      <c r="F25" s="26" t="n">
        <v>29</v>
      </c>
      <c r="G25" s="26" t="n">
        <v>13</v>
      </c>
      <c r="H25" s="10">
        <f>G25/29</f>
        <v/>
      </c>
    </row>
    <row r="26" ht="19" customHeight="1">
      <c r="A26" s="16" t="inlineStr">
        <is>
          <t>HEN2</t>
        </is>
      </c>
      <c r="B26" s="24" t="n">
        <v>0</v>
      </c>
      <c r="C26" s="24" t="n">
        <v>14</v>
      </c>
      <c r="E26" s="16" t="inlineStr">
        <is>
          <t>BGL2</t>
        </is>
      </c>
      <c r="F26" s="24" t="n">
        <v>0</v>
      </c>
      <c r="G26" s="24" t="n">
        <v>13</v>
      </c>
      <c r="H26" s="14">
        <f>G26/29</f>
        <v/>
      </c>
    </row>
    <row r="27" ht="19" customHeight="1">
      <c r="A27" s="7" t="inlineStr">
        <is>
          <t>HKP1</t>
        </is>
      </c>
      <c r="B27" s="26" t="n">
        <v>0</v>
      </c>
      <c r="C27" s="26" t="n">
        <v>1</v>
      </c>
      <c r="E27" s="7" t="inlineStr">
        <is>
          <t>RJ32</t>
        </is>
      </c>
      <c r="F27" s="26" t="n">
        <v>0</v>
      </c>
      <c r="G27" s="26" t="n">
        <v>13</v>
      </c>
      <c r="H27" s="10">
        <f>G27/29</f>
        <v/>
      </c>
    </row>
    <row r="28" ht="19" customHeight="1">
      <c r="A28" s="16" t="inlineStr">
        <is>
          <t>HKP2</t>
        </is>
      </c>
      <c r="B28" s="24" t="n">
        <v>0</v>
      </c>
      <c r="C28" s="24" t="n">
        <v>1</v>
      </c>
      <c r="E28" s="16" t="inlineStr">
        <is>
          <t>DLH6</t>
        </is>
      </c>
      <c r="F28" s="24" t="n">
        <v>0</v>
      </c>
      <c r="G28" s="24" t="n">
        <v>12</v>
      </c>
      <c r="H28" s="14">
        <f>G28/29</f>
        <v/>
      </c>
    </row>
    <row r="29" ht="19" customHeight="1">
      <c r="A29" s="7" t="inlineStr">
        <is>
          <t>HKW1</t>
        </is>
      </c>
      <c r="B29" s="26" t="n">
        <v>29</v>
      </c>
      <c r="C29" s="26" t="n">
        <v>13</v>
      </c>
      <c r="E29" s="7" t="inlineStr">
        <is>
          <t>RJ35</t>
        </is>
      </c>
      <c r="F29" s="26" t="n">
        <v>0</v>
      </c>
      <c r="G29" s="26" t="n">
        <v>12</v>
      </c>
      <c r="H29" s="10">
        <f>G29/29</f>
        <v/>
      </c>
    </row>
    <row r="30" ht="19" customHeight="1">
      <c r="A30" s="16" t="inlineStr">
        <is>
          <t>HKW2</t>
        </is>
      </c>
      <c r="B30" s="24" t="n">
        <v>29</v>
      </c>
      <c r="C30" s="24" t="n">
        <v>14</v>
      </c>
      <c r="E30" s="16" t="inlineStr">
        <is>
          <t>TGO8</t>
        </is>
      </c>
      <c r="F30" s="24" t="n">
        <v>0</v>
      </c>
      <c r="G30" s="24" t="n">
        <v>12</v>
      </c>
      <c r="H30" s="14">
        <f>G30/29</f>
        <v/>
      </c>
    </row>
    <row r="31" ht="19" customHeight="1">
      <c r="A31" s="7" t="inlineStr">
        <is>
          <t>HRK1</t>
        </is>
      </c>
      <c r="B31" s="26" t="n">
        <v>29</v>
      </c>
      <c r="C31" s="26" t="n">
        <v>14</v>
      </c>
      <c r="E31" s="7" t="inlineStr">
        <is>
          <t>DL11</t>
        </is>
      </c>
      <c r="F31" s="26" t="n">
        <v>0</v>
      </c>
      <c r="G31" s="26" t="n">
        <v>11</v>
      </c>
      <c r="H31" s="10">
        <f>G31/29</f>
        <v/>
      </c>
    </row>
    <row r="32" ht="19" customHeight="1">
      <c r="A32" s="16" t="inlineStr">
        <is>
          <t>HT01</t>
        </is>
      </c>
      <c r="B32" s="24" t="n">
        <v>0</v>
      </c>
      <c r="C32" s="24" t="n">
        <v>4</v>
      </c>
      <c r="E32" s="16" t="inlineStr">
        <is>
          <t>RJ33</t>
        </is>
      </c>
      <c r="F32" s="24" t="n">
        <v>0</v>
      </c>
      <c r="G32" s="24" t="n">
        <v>11</v>
      </c>
      <c r="H32" s="14">
        <f>G32/29</f>
        <v/>
      </c>
    </row>
    <row r="33" ht="19" customHeight="1">
      <c r="A33" s="7" t="inlineStr">
        <is>
          <t>HT02</t>
        </is>
      </c>
      <c r="B33" s="26" t="n">
        <v>0</v>
      </c>
      <c r="C33" s="26" t="n">
        <v>4</v>
      </c>
      <c r="E33" s="7" t="inlineStr">
        <is>
          <t>RJ29</t>
        </is>
      </c>
      <c r="F33" s="26" t="n">
        <v>0</v>
      </c>
      <c r="G33" s="26" t="n">
        <v>10</v>
      </c>
      <c r="H33" s="10">
        <f>G33/29</f>
        <v/>
      </c>
    </row>
    <row r="34" ht="22" customHeight="1">
      <c r="A34" s="16" t="inlineStr">
        <is>
          <t>HT04</t>
        </is>
      </c>
      <c r="B34" s="24" t="n">
        <v>0</v>
      </c>
      <c r="C34" s="24" t="n">
        <v>4</v>
      </c>
      <c r="E34" s="27" t="inlineStr">
        <is>
          <t>Total</t>
        </is>
      </c>
      <c r="F34" s="29">
        <f>SUM(F5:F33)</f>
        <v/>
      </c>
      <c r="G34" s="29">
        <f>SUM(G5:G33)</f>
        <v/>
      </c>
      <c r="H34" s="31">
        <f>G34/(29*COUNTA(E5:E33))</f>
        <v/>
      </c>
    </row>
    <row r="35" ht="19" customHeight="1">
      <c r="A35" s="7" t="inlineStr">
        <is>
          <t>HT05</t>
        </is>
      </c>
      <c r="B35" s="26" t="n">
        <v>0</v>
      </c>
      <c r="C35" s="26" t="n">
        <v>6</v>
      </c>
    </row>
    <row r="36" ht="19" customHeight="1">
      <c r="A36" s="16" t="inlineStr">
        <is>
          <t>HT06</t>
        </is>
      </c>
      <c r="B36" s="24" t="n">
        <v>0</v>
      </c>
      <c r="C36" s="24" t="n">
        <v>2</v>
      </c>
    </row>
    <row r="37" ht="19" customHeight="1">
      <c r="A37" s="7" t="inlineStr">
        <is>
          <t>HT07</t>
        </is>
      </c>
      <c r="B37" s="26" t="n">
        <v>0</v>
      </c>
      <c r="C37" s="26" t="n">
        <v>7</v>
      </c>
    </row>
    <row r="38" ht="19" customHeight="1">
      <c r="A38" s="16" t="inlineStr">
        <is>
          <t>HT08</t>
        </is>
      </c>
      <c r="B38" s="24" t="n">
        <v>0</v>
      </c>
      <c r="C38" s="24" t="n">
        <v>2</v>
      </c>
    </row>
    <row r="39" ht="19" customHeight="1">
      <c r="A39" s="7" t="inlineStr">
        <is>
          <t>HT09</t>
        </is>
      </c>
      <c r="B39" s="26" t="n">
        <v>0</v>
      </c>
      <c r="C39" s="26" t="n">
        <v>1</v>
      </c>
    </row>
    <row r="40" ht="19" customHeight="1">
      <c r="A40" s="16" t="inlineStr">
        <is>
          <t>HT10</t>
        </is>
      </c>
      <c r="B40" s="24" t="n">
        <v>0</v>
      </c>
      <c r="C40" s="24" t="n">
        <v>2</v>
      </c>
    </row>
    <row r="41" ht="19" customHeight="1">
      <c r="A41" s="7" t="inlineStr">
        <is>
          <t>HT11</t>
        </is>
      </c>
      <c r="B41" s="26" t="n">
        <v>0</v>
      </c>
      <c r="C41" s="26" t="n">
        <v>9</v>
      </c>
    </row>
    <row r="42" ht="19" customHeight="1">
      <c r="A42" s="16" t="inlineStr">
        <is>
          <t>HT12</t>
        </is>
      </c>
      <c r="B42" s="24" t="n">
        <v>0</v>
      </c>
      <c r="C42" s="24" t="n">
        <v>2</v>
      </c>
    </row>
    <row r="43" ht="19" customHeight="1">
      <c r="A43" s="7" t="inlineStr">
        <is>
          <t>HT13</t>
        </is>
      </c>
      <c r="B43" s="26" t="n">
        <v>0</v>
      </c>
      <c r="C43" s="26" t="n">
        <v>3</v>
      </c>
    </row>
    <row r="44" ht="19" customHeight="1">
      <c r="A44" s="16" t="inlineStr">
        <is>
          <t>HT14</t>
        </is>
      </c>
      <c r="B44" s="24" t="n">
        <v>0</v>
      </c>
      <c r="C44" s="24" t="n">
        <v>6</v>
      </c>
    </row>
    <row r="45" ht="19" customHeight="1">
      <c r="A45" s="7" t="inlineStr">
        <is>
          <t>HT15</t>
        </is>
      </c>
      <c r="B45" s="26" t="n">
        <v>0</v>
      </c>
      <c r="C45" s="26" t="n">
        <v>8</v>
      </c>
    </row>
    <row r="46" ht="19" customHeight="1">
      <c r="A46" s="16" t="inlineStr">
        <is>
          <t>HT46</t>
        </is>
      </c>
      <c r="B46" s="24" t="n">
        <v>0</v>
      </c>
      <c r="C46" s="24" t="n">
        <v>1</v>
      </c>
    </row>
    <row r="47" ht="19" customHeight="1">
      <c r="A47" s="7" t="inlineStr">
        <is>
          <t>HTN1</t>
        </is>
      </c>
      <c r="B47" s="26" t="n">
        <v>0</v>
      </c>
      <c r="C47" s="26" t="n">
        <v>22</v>
      </c>
    </row>
    <row r="48" ht="19" customHeight="1">
      <c r="A48" s="16" t="inlineStr">
        <is>
          <t>ID21</t>
        </is>
      </c>
      <c r="B48" s="24" t="n">
        <v>0</v>
      </c>
      <c r="C48" s="24" t="n">
        <v>1</v>
      </c>
    </row>
    <row r="49" ht="19" customHeight="1">
      <c r="A49" s="7" t="inlineStr">
        <is>
          <t>IDR4</t>
        </is>
      </c>
      <c r="B49" s="26" t="n">
        <v>0</v>
      </c>
      <c r="C49" s="26" t="n">
        <v>3</v>
      </c>
    </row>
    <row r="50" ht="19" customHeight="1">
      <c r="A50" s="16" t="inlineStr">
        <is>
          <t>IDR5</t>
        </is>
      </c>
      <c r="B50" s="24" t="n">
        <v>0</v>
      </c>
      <c r="C50" s="24" t="n">
        <v>4</v>
      </c>
    </row>
    <row r="51" ht="19" customHeight="1">
      <c r="A51" s="7" t="inlineStr">
        <is>
          <t>KKP4</t>
        </is>
      </c>
      <c r="B51" s="26" t="n">
        <v>0</v>
      </c>
      <c r="C51" s="26" t="n">
        <v>17</v>
      </c>
    </row>
    <row r="52" ht="19" customHeight="1">
      <c r="A52" s="16" t="inlineStr">
        <is>
          <t>KKP5</t>
        </is>
      </c>
      <c r="B52" s="24" t="n">
        <v>0</v>
      </c>
      <c r="C52" s="24" t="n">
        <v>17</v>
      </c>
    </row>
    <row r="53" ht="19" customHeight="1">
      <c r="A53" s="7" t="inlineStr">
        <is>
          <t>KME1</t>
        </is>
      </c>
      <c r="B53" s="26" t="n">
        <v>0</v>
      </c>
      <c r="C53" s="26" t="n">
        <v>3</v>
      </c>
    </row>
    <row r="54" ht="19" customHeight="1">
      <c r="A54" s="16" t="inlineStr">
        <is>
          <t>KRS1</t>
        </is>
      </c>
      <c r="B54" s="24" t="n">
        <v>11</v>
      </c>
      <c r="C54" s="24" t="n">
        <v>4</v>
      </c>
    </row>
    <row r="55" ht="19" customHeight="1">
      <c r="A55" s="7" t="inlineStr">
        <is>
          <t>KSO1</t>
        </is>
      </c>
      <c r="B55" s="26" t="n">
        <v>2</v>
      </c>
      <c r="C55" s="26" t="n">
        <v>8</v>
      </c>
    </row>
    <row r="56" ht="19" customHeight="1">
      <c r="A56" s="16" t="inlineStr">
        <is>
          <t>M112</t>
        </is>
      </c>
      <c r="B56" s="24" t="n">
        <v>0</v>
      </c>
      <c r="C56" s="24" t="n">
        <v>17</v>
      </c>
    </row>
    <row r="57" ht="19" customHeight="1">
      <c r="A57" s="7" t="inlineStr">
        <is>
          <t>MDR1</t>
        </is>
      </c>
      <c r="B57" s="26" t="n">
        <v>0</v>
      </c>
      <c r="C57" s="26" t="n">
        <v>28</v>
      </c>
    </row>
    <row r="58" ht="19" customHeight="1">
      <c r="A58" s="16" t="inlineStr">
        <is>
          <t>MDR2</t>
        </is>
      </c>
      <c r="B58" s="24" t="n">
        <v>0</v>
      </c>
      <c r="C58" s="24" t="n">
        <v>27</v>
      </c>
    </row>
    <row r="59" ht="19" customHeight="1">
      <c r="A59" s="7" t="inlineStr">
        <is>
          <t>MPT5</t>
        </is>
      </c>
      <c r="B59" s="26" t="n">
        <v>0</v>
      </c>
      <c r="C59" s="26" t="n">
        <v>20</v>
      </c>
    </row>
    <row r="60" ht="19" customHeight="1">
      <c r="A60" s="16" t="inlineStr">
        <is>
          <t>NE09</t>
        </is>
      </c>
      <c r="B60" s="24" t="n">
        <v>0</v>
      </c>
      <c r="C60" s="24" t="n">
        <v>4</v>
      </c>
    </row>
    <row r="61" ht="19" customHeight="1">
      <c r="A61" s="7" t="inlineStr">
        <is>
          <t>NZD3</t>
        </is>
      </c>
      <c r="B61" s="26" t="n">
        <v>0</v>
      </c>
      <c r="C61" s="26" t="n">
        <v>1</v>
      </c>
    </row>
    <row r="62" ht="19" customHeight="1">
      <c r="A62" s="16" t="inlineStr">
        <is>
          <t>NZD4</t>
        </is>
      </c>
      <c r="B62" s="24" t="n">
        <v>0</v>
      </c>
      <c r="C62" s="24" t="n">
        <v>1</v>
      </c>
    </row>
    <row r="63" ht="19" customHeight="1">
      <c r="A63" s="7" t="inlineStr">
        <is>
          <t>PKO1</t>
        </is>
      </c>
      <c r="B63" s="26" t="n">
        <v>0</v>
      </c>
      <c r="C63" s="26" t="n">
        <v>1</v>
      </c>
    </row>
    <row r="64" ht="19" customHeight="1">
      <c r="A64" s="16" t="inlineStr">
        <is>
          <t>PLH2</t>
        </is>
      </c>
      <c r="B64" s="24" t="n">
        <v>0</v>
      </c>
      <c r="C64" s="24" t="n">
        <v>1</v>
      </c>
    </row>
    <row r="65" ht="19" customHeight="1">
      <c r="A65" s="7" t="inlineStr">
        <is>
          <t>PLH3</t>
        </is>
      </c>
      <c r="B65" s="26" t="n">
        <v>0</v>
      </c>
      <c r="C65" s="26" t="n">
        <v>1</v>
      </c>
    </row>
    <row r="66" ht="19" customHeight="1">
      <c r="A66" s="16" t="inlineStr">
        <is>
          <t>PLK6</t>
        </is>
      </c>
      <c r="B66" s="24" t="n">
        <v>0</v>
      </c>
      <c r="C66" s="24" t="n">
        <v>2</v>
      </c>
    </row>
    <row r="67" ht="19" customHeight="1">
      <c r="A67" s="7" t="inlineStr">
        <is>
          <t>PLK7</t>
        </is>
      </c>
      <c r="B67" s="26" t="n">
        <v>0</v>
      </c>
      <c r="C67" s="26" t="n">
        <v>9</v>
      </c>
    </row>
    <row r="68" ht="19" customHeight="1">
      <c r="A68" s="16" t="inlineStr">
        <is>
          <t>PLO3</t>
        </is>
      </c>
      <c r="B68" s="24" t="n">
        <v>0</v>
      </c>
      <c r="C68" s="24" t="n">
        <v>27</v>
      </c>
    </row>
    <row r="69" ht="19" customHeight="1">
      <c r="A69" s="7" t="inlineStr">
        <is>
          <t>PLO4</t>
        </is>
      </c>
      <c r="B69" s="26" t="n">
        <v>0</v>
      </c>
      <c r="C69" s="26" t="n">
        <v>1</v>
      </c>
    </row>
    <row r="70" ht="19" customHeight="1">
      <c r="A70" s="16" t="inlineStr">
        <is>
          <t>PRR1</t>
        </is>
      </c>
      <c r="B70" s="24" t="n">
        <v>0</v>
      </c>
      <c r="C70" s="24" t="n">
        <v>1</v>
      </c>
    </row>
    <row r="71" ht="19" customHeight="1">
      <c r="A71" s="7" t="inlineStr">
        <is>
          <t>PSR1</t>
        </is>
      </c>
      <c r="B71" s="26" t="n">
        <v>0</v>
      </c>
      <c r="C71" s="26" t="n">
        <v>22</v>
      </c>
    </row>
    <row r="72" ht="19" customHeight="1">
      <c r="A72" s="16" t="inlineStr">
        <is>
          <t>RJ10</t>
        </is>
      </c>
      <c r="B72" s="24" t="n">
        <v>0</v>
      </c>
      <c r="C72" s="24" t="n">
        <v>3</v>
      </c>
    </row>
    <row r="73" ht="19" customHeight="1">
      <c r="A73" s="7" t="inlineStr">
        <is>
          <t>RJ11</t>
        </is>
      </c>
      <c r="B73" s="26" t="n">
        <v>0</v>
      </c>
      <c r="C73" s="26" t="n">
        <v>2</v>
      </c>
    </row>
    <row r="74" ht="19" customHeight="1">
      <c r="A74" s="16" t="inlineStr">
        <is>
          <t>RJ13</t>
        </is>
      </c>
      <c r="B74" s="24" t="n">
        <v>0</v>
      </c>
      <c r="C74" s="24" t="n">
        <v>1</v>
      </c>
    </row>
    <row r="75" ht="19" customHeight="1">
      <c r="A75" s="7" t="inlineStr">
        <is>
          <t>RJ14</t>
        </is>
      </c>
      <c r="B75" s="26" t="n">
        <v>0</v>
      </c>
      <c r="C75" s="26" t="n">
        <v>3</v>
      </c>
    </row>
    <row r="76" ht="19" customHeight="1">
      <c r="A76" s="16" t="inlineStr">
        <is>
          <t>RJ15</t>
        </is>
      </c>
      <c r="B76" s="24" t="n">
        <v>0</v>
      </c>
      <c r="C76" s="24" t="n">
        <v>6</v>
      </c>
    </row>
    <row r="77" ht="19" customHeight="1">
      <c r="A77" s="7" t="inlineStr">
        <is>
          <t>RJ16</t>
        </is>
      </c>
      <c r="B77" s="26" t="n">
        <v>0</v>
      </c>
      <c r="C77" s="26" t="n">
        <v>2</v>
      </c>
    </row>
    <row r="78" ht="19" customHeight="1">
      <c r="A78" s="16" t="inlineStr">
        <is>
          <t>RJ17</t>
        </is>
      </c>
      <c r="B78" s="24" t="n">
        <v>0</v>
      </c>
      <c r="C78" s="24" t="n">
        <v>2</v>
      </c>
    </row>
    <row r="79" ht="19" customHeight="1">
      <c r="A79" s="7" t="inlineStr">
        <is>
          <t>RJ18</t>
        </is>
      </c>
      <c r="B79" s="26" t="n">
        <v>0</v>
      </c>
      <c r="C79" s="26" t="n">
        <v>2</v>
      </c>
    </row>
    <row r="80" ht="19" customHeight="1">
      <c r="A80" s="16" t="inlineStr">
        <is>
          <t>RJ19</t>
        </is>
      </c>
      <c r="B80" s="24" t="n">
        <v>0</v>
      </c>
      <c r="C80" s="24" t="n">
        <v>2</v>
      </c>
    </row>
    <row r="81" ht="19" customHeight="1">
      <c r="A81" s="7" t="inlineStr">
        <is>
          <t>RJ20</t>
        </is>
      </c>
      <c r="B81" s="26" t="n">
        <v>0</v>
      </c>
      <c r="C81" s="26" t="n">
        <v>1</v>
      </c>
    </row>
    <row r="82" ht="19" customHeight="1">
      <c r="A82" s="16" t="inlineStr">
        <is>
          <t>RJ21</t>
        </is>
      </c>
      <c r="B82" s="24" t="n">
        <v>0</v>
      </c>
      <c r="C82" s="24" t="n">
        <v>1</v>
      </c>
    </row>
    <row r="83" ht="19" customHeight="1">
      <c r="A83" s="7" t="inlineStr">
        <is>
          <t>RJ22</t>
        </is>
      </c>
      <c r="B83" s="26" t="n">
        <v>0</v>
      </c>
      <c r="C83" s="26" t="n">
        <v>2</v>
      </c>
    </row>
    <row r="84" ht="19" customHeight="1">
      <c r="A84" s="16" t="inlineStr">
        <is>
          <t>RJ23</t>
        </is>
      </c>
      <c r="B84" s="24" t="n">
        <v>0</v>
      </c>
      <c r="C84" s="24" t="n">
        <v>1</v>
      </c>
    </row>
    <row r="85" ht="19" customHeight="1">
      <c r="A85" s="7" t="inlineStr">
        <is>
          <t>RJ24</t>
        </is>
      </c>
      <c r="B85" s="26" t="n">
        <v>0</v>
      </c>
      <c r="C85" s="26" t="n">
        <v>4</v>
      </c>
    </row>
    <row r="86" ht="19" customHeight="1">
      <c r="A86" s="16" t="inlineStr">
        <is>
          <t>RJ26</t>
        </is>
      </c>
      <c r="B86" s="24" t="n">
        <v>0</v>
      </c>
      <c r="C86" s="24" t="n">
        <v>4</v>
      </c>
    </row>
    <row r="87" ht="19" customHeight="1">
      <c r="A87" s="7" t="inlineStr">
        <is>
          <t>RJ27</t>
        </is>
      </c>
      <c r="B87" s="26" t="n">
        <v>0</v>
      </c>
      <c r="C87" s="26" t="n">
        <v>3</v>
      </c>
    </row>
    <row r="88" ht="19" customHeight="1">
      <c r="A88" s="16" t="inlineStr">
        <is>
          <t>RJ28</t>
        </is>
      </c>
      <c r="B88" s="24" t="n">
        <v>0</v>
      </c>
      <c r="C88" s="24" t="n">
        <v>9</v>
      </c>
    </row>
    <row r="89" ht="19" customHeight="1">
      <c r="A89" s="7" t="inlineStr">
        <is>
          <t>RJ29</t>
        </is>
      </c>
      <c r="B89" s="26" t="n">
        <v>0</v>
      </c>
      <c r="C89" s="26" t="n">
        <v>10</v>
      </c>
    </row>
    <row r="90" ht="19" customHeight="1">
      <c r="A90" s="16" t="inlineStr">
        <is>
          <t>RJ30</t>
        </is>
      </c>
      <c r="B90" s="24" t="n">
        <v>0</v>
      </c>
      <c r="C90" s="24" t="n">
        <v>6</v>
      </c>
    </row>
    <row r="91" ht="19" customHeight="1">
      <c r="A91" s="7" t="inlineStr">
        <is>
          <t>RJ31</t>
        </is>
      </c>
      <c r="B91" s="26" t="n">
        <v>0</v>
      </c>
      <c r="C91" s="26" t="n">
        <v>8</v>
      </c>
    </row>
    <row r="92" ht="19" customHeight="1">
      <c r="A92" s="16" t="inlineStr">
        <is>
          <t>RJ32</t>
        </is>
      </c>
      <c r="B92" s="24" t="n">
        <v>0</v>
      </c>
      <c r="C92" s="24" t="n">
        <v>13</v>
      </c>
    </row>
    <row r="93" ht="19" customHeight="1">
      <c r="A93" s="7" t="inlineStr">
        <is>
          <t>RJ33</t>
        </is>
      </c>
      <c r="B93" s="26" t="n">
        <v>0</v>
      </c>
      <c r="C93" s="26" t="n">
        <v>11</v>
      </c>
    </row>
    <row r="94" ht="19" customHeight="1">
      <c r="A94" s="16" t="inlineStr">
        <is>
          <t>RJ34</t>
        </is>
      </c>
      <c r="B94" s="24" t="n">
        <v>0</v>
      </c>
      <c r="C94" s="24" t="n">
        <v>14</v>
      </c>
    </row>
    <row r="95" ht="19" customHeight="1">
      <c r="A95" s="7" t="inlineStr">
        <is>
          <t>RJ35</t>
        </is>
      </c>
      <c r="B95" s="26" t="n">
        <v>0</v>
      </c>
      <c r="C95" s="26" t="n">
        <v>12</v>
      </c>
    </row>
    <row r="96" ht="19" customHeight="1">
      <c r="A96" s="16" t="inlineStr">
        <is>
          <t>RJ36</t>
        </is>
      </c>
      <c r="B96" s="24" t="n">
        <v>0</v>
      </c>
      <c r="C96" s="24" t="n">
        <v>6</v>
      </c>
    </row>
    <row r="97" ht="19" customHeight="1">
      <c r="A97" s="7" t="inlineStr">
        <is>
          <t>RJH1</t>
        </is>
      </c>
      <c r="B97" s="26" t="n">
        <v>0</v>
      </c>
      <c r="C97" s="26" t="n">
        <v>1</v>
      </c>
    </row>
    <row r="98" ht="19" customHeight="1">
      <c r="A98" s="16" t="inlineStr">
        <is>
          <t>RJH2</t>
        </is>
      </c>
      <c r="B98" s="24" t="n">
        <v>0</v>
      </c>
      <c r="C98" s="24" t="n">
        <v>4</v>
      </c>
    </row>
    <row r="99" ht="19" customHeight="1">
      <c r="A99" s="7" t="inlineStr">
        <is>
          <t>RJH3</t>
        </is>
      </c>
      <c r="B99" s="26" t="n">
        <v>0</v>
      </c>
      <c r="C99" s="26" t="n">
        <v>2</v>
      </c>
    </row>
    <row r="100" ht="19" customHeight="1">
      <c r="A100" s="16" t="inlineStr">
        <is>
          <t>RJH4</t>
        </is>
      </c>
      <c r="B100" s="24" t="n">
        <v>0</v>
      </c>
      <c r="C100" s="24" t="n">
        <v>2</v>
      </c>
    </row>
    <row r="101" ht="19" customHeight="1">
      <c r="A101" s="7" t="inlineStr">
        <is>
          <t>RJH5</t>
        </is>
      </c>
      <c r="B101" s="26" t="n">
        <v>0</v>
      </c>
      <c r="C101" s="26" t="n">
        <v>3</v>
      </c>
    </row>
    <row r="102" ht="19" customHeight="1">
      <c r="A102" s="16" t="inlineStr">
        <is>
          <t>RJH6</t>
        </is>
      </c>
      <c r="B102" s="24" t="n">
        <v>0</v>
      </c>
      <c r="C102" s="24" t="n">
        <v>3</v>
      </c>
    </row>
    <row r="103" ht="19" customHeight="1">
      <c r="A103" s="7" t="inlineStr">
        <is>
          <t>RJH7</t>
        </is>
      </c>
      <c r="B103" s="26" t="n">
        <v>0</v>
      </c>
      <c r="C103" s="26" t="n">
        <v>4</v>
      </c>
    </row>
    <row r="104" ht="19" customHeight="1">
      <c r="A104" s="16" t="inlineStr">
        <is>
          <t>RJH8</t>
        </is>
      </c>
      <c r="B104" s="24" t="n">
        <v>0</v>
      </c>
      <c r="C104" s="24" t="n">
        <v>3</v>
      </c>
    </row>
    <row r="105" ht="19" customHeight="1">
      <c r="A105" s="7" t="inlineStr">
        <is>
          <t>RJH9</t>
        </is>
      </c>
      <c r="B105" s="26" t="n">
        <v>0</v>
      </c>
      <c r="C105" s="26" t="n">
        <v>2</v>
      </c>
    </row>
    <row r="106" ht="19" customHeight="1">
      <c r="A106" s="16" t="inlineStr">
        <is>
          <t>SD18</t>
        </is>
      </c>
      <c r="B106" s="24" t="n">
        <v>0</v>
      </c>
      <c r="C106" s="24" t="n">
        <v>22</v>
      </c>
    </row>
    <row r="107" ht="19" customHeight="1">
      <c r="A107" s="7" t="inlineStr">
        <is>
          <t>SDK2</t>
        </is>
      </c>
      <c r="B107" s="26" t="n">
        <v>0</v>
      </c>
      <c r="C107" s="26" t="n">
        <v>1</v>
      </c>
    </row>
    <row r="108" ht="19" customHeight="1">
      <c r="A108" s="16" t="inlineStr">
        <is>
          <t>SDO1</t>
        </is>
      </c>
      <c r="B108" s="24" t="n">
        <v>0</v>
      </c>
      <c r="C108" s="24" t="n">
        <v>9</v>
      </c>
    </row>
    <row r="109" ht="19" customHeight="1">
      <c r="A109" s="7" t="inlineStr">
        <is>
          <t>SDO4</t>
        </is>
      </c>
      <c r="B109" s="26" t="n">
        <v>0</v>
      </c>
      <c r="C109" s="26" t="n">
        <v>2</v>
      </c>
    </row>
    <row r="110" ht="19" customHeight="1">
      <c r="A110" s="16" t="inlineStr">
        <is>
          <t>SDO5</t>
        </is>
      </c>
      <c r="B110" s="24" t="n">
        <v>0</v>
      </c>
      <c r="C110" s="24" t="n">
        <v>14</v>
      </c>
    </row>
    <row r="111" ht="19" customHeight="1">
      <c r="A111" s="7" t="inlineStr">
        <is>
          <t>SLM2</t>
        </is>
      </c>
      <c r="B111" s="26" t="n">
        <v>0</v>
      </c>
      <c r="C111" s="26" t="n">
        <v>4</v>
      </c>
    </row>
    <row r="112" ht="19" customHeight="1">
      <c r="A112" s="16" t="inlineStr">
        <is>
          <t>TGO6</t>
        </is>
      </c>
      <c r="B112" s="24" t="n">
        <v>0</v>
      </c>
      <c r="C112" s="24" t="n">
        <v>18</v>
      </c>
    </row>
    <row r="113" ht="19" customHeight="1">
      <c r="A113" s="7" t="inlineStr">
        <is>
          <t>TGO8</t>
        </is>
      </c>
      <c r="B113" s="26" t="n">
        <v>0</v>
      </c>
      <c r="C113" s="26" t="n">
        <v>12</v>
      </c>
    </row>
    <row r="114" ht="19" customHeight="1">
      <c r="A114" s="16" t="inlineStr">
        <is>
          <t>TPH1</t>
        </is>
      </c>
      <c r="B114" s="24" t="n">
        <v>0</v>
      </c>
      <c r="C114" s="24" t="n">
        <v>1</v>
      </c>
    </row>
    <row r="115" ht="19" customHeight="1">
      <c r="A115" s="7" t="inlineStr">
        <is>
          <t>VGO1</t>
        </is>
      </c>
      <c r="B115" s="26" t="n">
        <v>0</v>
      </c>
      <c r="C115" s="26" t="n">
        <v>1</v>
      </c>
    </row>
    <row r="116" ht="22" customHeight="1">
      <c r="A116" s="27" t="inlineStr">
        <is>
          <t>Total</t>
        </is>
      </c>
      <c r="B116" s="29">
        <f>SUM(B5:B115)</f>
        <v/>
      </c>
      <c r="C116" s="29">
        <f>SUM(C5:C115)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4" customWidth="1" min="4" max="4"/>
    <col width="18" customWidth="1" min="5" max="5"/>
    <col width="20" customWidth="1" min="6" max="6"/>
    <col width="18" customWidth="1" min="7" max="7"/>
    <col width="16" customWidth="1" min="8" max="8"/>
    <col width="4" customWidth="1" min="9" max="9"/>
    <col width="18" customWidth="1" min="10" max="10"/>
    <col width="18" customWidth="1" min="11" max="11"/>
    <col width="18" customWidth="1" min="12" max="12"/>
    <col width="22" customWidth="1" min="13" max="13"/>
    <col width="16" customWidth="1" min="14" max="14"/>
    <col width="32" customWidth="1" min="15" max="15"/>
  </cols>
  <sheetData>
    <row r="1" ht="28" customHeight="1">
      <c r="A1" s="1" t="inlineStr">
        <is>
          <t>DEPOT SERVICE CUT REPORT: WARANGAL-II</t>
        </is>
      </c>
    </row>
    <row r="2" ht="20" customHeight="1">
      <c r="A2" s="2" t="inlineStr">
        <is>
          <t>Period: Completed 29 Days (Like-for-Like Analysis)  |  Excluded Pending Dates: 2026-10-04  |  Source: warangal_cut_services_analysis.xlsx</t>
        </is>
      </c>
    </row>
    <row r="3" ht="22" customHeight="1">
      <c r="A3" s="33" t="inlineStr">
        <is>
          <t>DELIVERABLE 1: FULL CUT REPORT</t>
        </is>
      </c>
      <c r="E3" s="34" t="inlineStr">
        <is>
          <t>DELIVERABLE 2: REGULAR CUT SERVICES (Cut on &gt;= 10 Completed Days)</t>
        </is>
      </c>
      <c r="J3" s="35" t="inlineStr">
        <is>
          <t>DELIVERABLE 3: CLOSE MATCH PREDICTIONS (Pred &gt;= 5 &amp; Match &gt;= 70%)</t>
        </is>
      </c>
    </row>
    <row r="4" ht="25" customHeight="1">
      <c r="A4" s="4" t="inlineStr">
        <is>
          <t>Service Number</t>
        </is>
      </c>
      <c r="B4" s="6" t="inlineStr">
        <is>
          <t>Predicted Cut Count</t>
        </is>
      </c>
      <c r="C4" s="6" t="inlineStr">
        <is>
          <t>Actual Cut Count</t>
        </is>
      </c>
      <c r="E4" s="20" t="inlineStr">
        <is>
          <t>Service Number</t>
        </is>
      </c>
      <c r="F4" s="22" t="inlineStr">
        <is>
          <t>Predicted Cut Count</t>
        </is>
      </c>
      <c r="G4" s="22" t="inlineStr">
        <is>
          <t>Actual Cut Count</t>
        </is>
      </c>
      <c r="H4" s="22" t="inlineStr">
        <is>
          <t>% of Days Cut</t>
        </is>
      </c>
      <c r="J4" s="17" t="inlineStr">
        <is>
          <t>Service Number</t>
        </is>
      </c>
      <c r="K4" s="19" t="inlineStr">
        <is>
          <t>Predicted Count</t>
        </is>
      </c>
      <c r="L4" s="19" t="inlineStr">
        <is>
          <t>Actual Count</t>
        </is>
      </c>
      <c r="M4" s="19" t="inlineStr">
        <is>
          <t>Difference (Act - Pred)</t>
        </is>
      </c>
      <c r="N4" s="19" t="inlineStr">
        <is>
          <t>Match %</t>
        </is>
      </c>
      <c r="O4" s="19" t="inlineStr">
        <is>
          <t>Same-Day Coincident Cuts</t>
        </is>
      </c>
    </row>
    <row r="5" ht="19" customHeight="1">
      <c r="A5" s="7" t="inlineStr">
        <is>
          <t>BRK1</t>
        </is>
      </c>
      <c r="B5" s="26" t="n">
        <v>0</v>
      </c>
      <c r="C5" s="26" t="n">
        <v>1</v>
      </c>
      <c r="E5" s="7" t="inlineStr">
        <is>
          <t>EK02</t>
        </is>
      </c>
      <c r="F5" s="26" t="n">
        <v>0</v>
      </c>
      <c r="G5" s="26" t="n">
        <v>27</v>
      </c>
      <c r="H5" s="10">
        <f>G5/29</f>
        <v/>
      </c>
      <c r="J5" s="36" t="inlineStr">
        <is>
          <t>No close matches qualified (or 0 predictions declared for depot)</t>
        </is>
      </c>
    </row>
    <row r="6" ht="19" customHeight="1">
      <c r="A6" s="16" t="inlineStr">
        <is>
          <t>ED02</t>
        </is>
      </c>
      <c r="B6" s="24" t="n">
        <v>0</v>
      </c>
      <c r="C6" s="24" t="n">
        <v>2</v>
      </c>
      <c r="E6" s="16" t="inlineStr">
        <is>
          <t>EK07</t>
        </is>
      </c>
      <c r="F6" s="24" t="n">
        <v>0</v>
      </c>
      <c r="G6" s="24" t="n">
        <v>27</v>
      </c>
      <c r="H6" s="14">
        <f>G6/29</f>
        <v/>
      </c>
    </row>
    <row r="7" ht="19" customHeight="1">
      <c r="A7" s="7" t="inlineStr">
        <is>
          <t>ED03</t>
        </is>
      </c>
      <c r="B7" s="26" t="n">
        <v>0</v>
      </c>
      <c r="C7" s="26" t="n">
        <v>4</v>
      </c>
      <c r="E7" s="7" t="inlineStr">
        <is>
          <t>EK08</t>
        </is>
      </c>
      <c r="F7" s="26" t="n">
        <v>0</v>
      </c>
      <c r="G7" s="26" t="n">
        <v>25</v>
      </c>
      <c r="H7" s="10">
        <f>G7/29</f>
        <v/>
      </c>
      <c r="J7" s="37" t="inlineStr">
        <is>
          <t>NON-QUALIFYING PREDICTED SERVICES (Did not meet Deliverable 3 criteria)</t>
        </is>
      </c>
    </row>
    <row r="8" ht="22" customHeight="1">
      <c r="A8" s="16" t="inlineStr">
        <is>
          <t>ED04</t>
        </is>
      </c>
      <c r="B8" s="24" t="n">
        <v>0</v>
      </c>
      <c r="C8" s="24" t="n">
        <v>5</v>
      </c>
      <c r="E8" s="16" t="inlineStr">
        <is>
          <t>ED17</t>
        </is>
      </c>
      <c r="F8" s="24" t="n">
        <v>0</v>
      </c>
      <c r="G8" s="24" t="n">
        <v>22</v>
      </c>
      <c r="H8" s="14">
        <f>G8/29</f>
        <v/>
      </c>
      <c r="J8" s="38" t="inlineStr">
        <is>
          <t>Service</t>
        </is>
      </c>
      <c r="K8" s="39" t="inlineStr">
        <is>
          <t>Pred Count</t>
        </is>
      </c>
      <c r="L8" s="39" t="inlineStr">
        <is>
          <t>Act Count</t>
        </is>
      </c>
      <c r="M8" s="39" t="inlineStr">
        <is>
          <t>Match %</t>
        </is>
      </c>
      <c r="N8" s="39" t="inlineStr">
        <is>
          <t>Same-Day Cuts</t>
        </is>
      </c>
      <c r="O8" s="38" t="inlineStr">
        <is>
          <t>Disqualification Reason</t>
        </is>
      </c>
    </row>
    <row r="9" ht="19" customHeight="1">
      <c r="A9" s="7" t="inlineStr">
        <is>
          <t>ED05</t>
        </is>
      </c>
      <c r="B9" s="26" t="n">
        <v>0</v>
      </c>
      <c r="C9" s="26" t="n">
        <v>6</v>
      </c>
      <c r="E9" s="7" t="inlineStr">
        <is>
          <t>ES17</t>
        </is>
      </c>
      <c r="F9" s="26" t="n">
        <v>0</v>
      </c>
      <c r="G9" s="26" t="n">
        <v>21</v>
      </c>
      <c r="H9" s="10">
        <f>G9/29</f>
        <v/>
      </c>
      <c r="J9" s="40" t="inlineStr">
        <is>
          <t>No predicted services or all predicted services qualified</t>
        </is>
      </c>
    </row>
    <row r="10" ht="19" customHeight="1">
      <c r="A10" s="16" t="inlineStr">
        <is>
          <t>ED06</t>
        </is>
      </c>
      <c r="B10" s="24" t="n">
        <v>0</v>
      </c>
      <c r="C10" s="24" t="n">
        <v>11</v>
      </c>
      <c r="E10" s="16" t="inlineStr">
        <is>
          <t>ES18</t>
        </is>
      </c>
      <c r="F10" s="24" t="n">
        <v>0</v>
      </c>
      <c r="G10" s="24" t="n">
        <v>21</v>
      </c>
      <c r="H10" s="14">
        <f>G10/29</f>
        <v/>
      </c>
    </row>
    <row r="11" ht="19" customHeight="1">
      <c r="A11" s="7" t="inlineStr">
        <is>
          <t>ED07</t>
        </is>
      </c>
      <c r="B11" s="26" t="n">
        <v>0</v>
      </c>
      <c r="C11" s="26" t="n">
        <v>12</v>
      </c>
      <c r="E11" s="7" t="inlineStr">
        <is>
          <t>ED16</t>
        </is>
      </c>
      <c r="F11" s="26" t="n">
        <v>0</v>
      </c>
      <c r="G11" s="26" t="n">
        <v>20</v>
      </c>
      <c r="H11" s="10">
        <f>G11/29</f>
        <v/>
      </c>
    </row>
    <row r="12" ht="19" customHeight="1">
      <c r="A12" s="16" t="inlineStr">
        <is>
          <t>ED08</t>
        </is>
      </c>
      <c r="B12" s="24" t="n">
        <v>0</v>
      </c>
      <c r="C12" s="24" t="n">
        <v>13</v>
      </c>
      <c r="E12" s="16" t="inlineStr">
        <is>
          <t>ES16</t>
        </is>
      </c>
      <c r="F12" s="24" t="n">
        <v>0</v>
      </c>
      <c r="G12" s="24" t="n">
        <v>19</v>
      </c>
      <c r="H12" s="14">
        <f>G12/29</f>
        <v/>
      </c>
    </row>
    <row r="13" ht="19" customHeight="1">
      <c r="A13" s="7" t="inlineStr">
        <is>
          <t>ED10</t>
        </is>
      </c>
      <c r="B13" s="26" t="n">
        <v>0</v>
      </c>
      <c r="C13" s="26" t="n">
        <v>4</v>
      </c>
      <c r="E13" s="7" t="inlineStr">
        <is>
          <t>ED15</t>
        </is>
      </c>
      <c r="F13" s="26" t="n">
        <v>0</v>
      </c>
      <c r="G13" s="26" t="n">
        <v>18</v>
      </c>
      <c r="H13" s="10">
        <f>G13/29</f>
        <v/>
      </c>
    </row>
    <row r="14" ht="19" customHeight="1">
      <c r="A14" s="16" t="inlineStr">
        <is>
          <t>ED11</t>
        </is>
      </c>
      <c r="B14" s="24" t="n">
        <v>0</v>
      </c>
      <c r="C14" s="24" t="n">
        <v>6</v>
      </c>
      <c r="E14" s="16" t="inlineStr">
        <is>
          <t>EK01</t>
        </is>
      </c>
      <c r="F14" s="24" t="n">
        <v>0</v>
      </c>
      <c r="G14" s="24" t="n">
        <v>17</v>
      </c>
      <c r="H14" s="14">
        <f>G14/29</f>
        <v/>
      </c>
    </row>
    <row r="15" ht="19" customHeight="1">
      <c r="A15" s="7" t="inlineStr">
        <is>
          <t>ED12</t>
        </is>
      </c>
      <c r="B15" s="26" t="n">
        <v>0</v>
      </c>
      <c r="C15" s="26" t="n">
        <v>9</v>
      </c>
      <c r="E15" s="7" t="inlineStr">
        <is>
          <t>EK03</t>
        </is>
      </c>
      <c r="F15" s="26" t="n">
        <v>0</v>
      </c>
      <c r="G15" s="26" t="n">
        <v>17</v>
      </c>
      <c r="H15" s="10">
        <f>G15/29</f>
        <v/>
      </c>
    </row>
    <row r="16" ht="19" customHeight="1">
      <c r="A16" s="16" t="inlineStr">
        <is>
          <t>ED13</t>
        </is>
      </c>
      <c r="B16" s="24" t="n">
        <v>0</v>
      </c>
      <c r="C16" s="24" t="n">
        <v>11</v>
      </c>
      <c r="E16" s="16" t="inlineStr">
        <is>
          <t>EK04</t>
        </is>
      </c>
      <c r="F16" s="24" t="n">
        <v>0</v>
      </c>
      <c r="G16" s="24" t="n">
        <v>17</v>
      </c>
      <c r="H16" s="14">
        <f>G16/29</f>
        <v/>
      </c>
    </row>
    <row r="17" ht="19" customHeight="1">
      <c r="A17" s="7" t="inlineStr">
        <is>
          <t>ED14</t>
        </is>
      </c>
      <c r="B17" s="26" t="n">
        <v>0</v>
      </c>
      <c r="C17" s="26" t="n">
        <v>13</v>
      </c>
      <c r="E17" s="7" t="inlineStr">
        <is>
          <t>EK06</t>
        </is>
      </c>
      <c r="F17" s="26" t="n">
        <v>0</v>
      </c>
      <c r="G17" s="26" t="n">
        <v>17</v>
      </c>
      <c r="H17" s="10">
        <f>G17/29</f>
        <v/>
      </c>
    </row>
    <row r="18" ht="19" customHeight="1">
      <c r="A18" s="16" t="inlineStr">
        <is>
          <t>ED15</t>
        </is>
      </c>
      <c r="B18" s="24" t="n">
        <v>0</v>
      </c>
      <c r="C18" s="24" t="n">
        <v>18</v>
      </c>
      <c r="E18" s="16" t="inlineStr">
        <is>
          <t>ES15</t>
        </is>
      </c>
      <c r="F18" s="24" t="n">
        <v>0</v>
      </c>
      <c r="G18" s="24" t="n">
        <v>17</v>
      </c>
      <c r="H18" s="14">
        <f>G18/29</f>
        <v/>
      </c>
    </row>
    <row r="19" ht="19" customHeight="1">
      <c r="A19" s="7" t="inlineStr">
        <is>
          <t>ED16</t>
        </is>
      </c>
      <c r="B19" s="26" t="n">
        <v>0</v>
      </c>
      <c r="C19" s="26" t="n">
        <v>20</v>
      </c>
      <c r="E19" s="7" t="inlineStr">
        <is>
          <t>ES14</t>
        </is>
      </c>
      <c r="F19" s="26" t="n">
        <v>0</v>
      </c>
      <c r="G19" s="26" t="n">
        <v>16</v>
      </c>
      <c r="H19" s="10">
        <f>G19/29</f>
        <v/>
      </c>
    </row>
    <row r="20" ht="19" customHeight="1">
      <c r="A20" s="16" t="inlineStr">
        <is>
          <t>ED17</t>
        </is>
      </c>
      <c r="B20" s="24" t="n">
        <v>0</v>
      </c>
      <c r="C20" s="24" t="n">
        <v>22</v>
      </c>
      <c r="E20" s="16" t="inlineStr">
        <is>
          <t>EK05</t>
        </is>
      </c>
      <c r="F20" s="24" t="n">
        <v>0</v>
      </c>
      <c r="G20" s="24" t="n">
        <v>15</v>
      </c>
      <c r="H20" s="14">
        <f>G20/29</f>
        <v/>
      </c>
    </row>
    <row r="21" ht="19" customHeight="1">
      <c r="A21" s="7" t="inlineStr">
        <is>
          <t>ED40</t>
        </is>
      </c>
      <c r="B21" s="26" t="n">
        <v>0</v>
      </c>
      <c r="C21" s="26" t="n">
        <v>1</v>
      </c>
      <c r="E21" s="7" t="inlineStr">
        <is>
          <t>ED08</t>
        </is>
      </c>
      <c r="F21" s="26" t="n">
        <v>0</v>
      </c>
      <c r="G21" s="26" t="n">
        <v>13</v>
      </c>
      <c r="H21" s="10">
        <f>G21/29</f>
        <v/>
      </c>
    </row>
    <row r="22" ht="19" customHeight="1">
      <c r="A22" s="16" t="inlineStr">
        <is>
          <t>ED44</t>
        </is>
      </c>
      <c r="B22" s="24" t="n">
        <v>0</v>
      </c>
      <c r="C22" s="24" t="n">
        <v>3</v>
      </c>
      <c r="E22" s="16" t="inlineStr">
        <is>
          <t>ED14</t>
        </is>
      </c>
      <c r="F22" s="24" t="n">
        <v>0</v>
      </c>
      <c r="G22" s="24" t="n">
        <v>13</v>
      </c>
      <c r="H22" s="14">
        <f>G22/29</f>
        <v/>
      </c>
    </row>
    <row r="23" ht="19" customHeight="1">
      <c r="A23" s="7" t="inlineStr">
        <is>
          <t>ED45</t>
        </is>
      </c>
      <c r="B23" s="26" t="n">
        <v>0</v>
      </c>
      <c r="C23" s="26" t="n">
        <v>2</v>
      </c>
      <c r="E23" s="7" t="inlineStr">
        <is>
          <t>ED07</t>
        </is>
      </c>
      <c r="F23" s="26" t="n">
        <v>0</v>
      </c>
      <c r="G23" s="26" t="n">
        <v>12</v>
      </c>
      <c r="H23" s="10">
        <f>G23/29</f>
        <v/>
      </c>
    </row>
    <row r="24" ht="19" customHeight="1">
      <c r="A24" s="16" t="inlineStr">
        <is>
          <t>ED46</t>
        </is>
      </c>
      <c r="B24" s="24" t="n">
        <v>0</v>
      </c>
      <c r="C24" s="24" t="n">
        <v>6</v>
      </c>
      <c r="E24" s="16" t="inlineStr">
        <is>
          <t>ED06</t>
        </is>
      </c>
      <c r="F24" s="24" t="n">
        <v>0</v>
      </c>
      <c r="G24" s="24" t="n">
        <v>11</v>
      </c>
      <c r="H24" s="14">
        <f>G24/29</f>
        <v/>
      </c>
    </row>
    <row r="25" ht="19" customHeight="1">
      <c r="A25" s="7" t="inlineStr">
        <is>
          <t>ED47</t>
        </is>
      </c>
      <c r="B25" s="26" t="n">
        <v>0</v>
      </c>
      <c r="C25" s="26" t="n">
        <v>5</v>
      </c>
      <c r="E25" s="7" t="inlineStr">
        <is>
          <t>ED13</t>
        </is>
      </c>
      <c r="F25" s="26" t="n">
        <v>0</v>
      </c>
      <c r="G25" s="26" t="n">
        <v>11</v>
      </c>
      <c r="H25" s="10">
        <f>G25/29</f>
        <v/>
      </c>
    </row>
    <row r="26" ht="19" customHeight="1">
      <c r="A26" s="16" t="inlineStr">
        <is>
          <t>ED48</t>
        </is>
      </c>
      <c r="B26" s="24" t="n">
        <v>0</v>
      </c>
      <c r="C26" s="24" t="n">
        <v>7</v>
      </c>
      <c r="E26" s="16" t="inlineStr">
        <is>
          <t>JGT2</t>
        </is>
      </c>
      <c r="F26" s="24" t="n">
        <v>0</v>
      </c>
      <c r="G26" s="24" t="n">
        <v>11</v>
      </c>
      <c r="H26" s="14">
        <f>G26/29</f>
        <v/>
      </c>
    </row>
    <row r="27" ht="19" customHeight="1">
      <c r="A27" s="7" t="inlineStr">
        <is>
          <t>ED49</t>
        </is>
      </c>
      <c r="B27" s="26" t="n">
        <v>0</v>
      </c>
      <c r="C27" s="26" t="n">
        <v>8</v>
      </c>
      <c r="E27" s="7" t="inlineStr">
        <is>
          <t>ES13</t>
        </is>
      </c>
      <c r="F27" s="26" t="n">
        <v>0</v>
      </c>
      <c r="G27" s="26" t="n">
        <v>10</v>
      </c>
      <c r="H27" s="10">
        <f>G27/29</f>
        <v/>
      </c>
    </row>
    <row r="28" ht="19" customHeight="1">
      <c r="A28" s="16" t="inlineStr">
        <is>
          <t>EK01</t>
        </is>
      </c>
      <c r="B28" s="24" t="n">
        <v>0</v>
      </c>
      <c r="C28" s="24" t="n">
        <v>17</v>
      </c>
      <c r="E28" s="16" t="inlineStr">
        <is>
          <t>KMR7</t>
        </is>
      </c>
      <c r="F28" s="24" t="n">
        <v>0</v>
      </c>
      <c r="G28" s="24" t="n">
        <v>10</v>
      </c>
      <c r="H28" s="14">
        <f>G28/29</f>
        <v/>
      </c>
    </row>
    <row r="29" ht="22" customHeight="1">
      <c r="A29" s="7" t="inlineStr">
        <is>
          <t>EK02</t>
        </is>
      </c>
      <c r="B29" s="26" t="n">
        <v>0</v>
      </c>
      <c r="C29" s="26" t="n">
        <v>27</v>
      </c>
      <c r="E29" s="27" t="inlineStr">
        <is>
          <t>Total</t>
        </is>
      </c>
      <c r="F29" s="29">
        <f>SUM(F5:F28)</f>
        <v/>
      </c>
      <c r="G29" s="29">
        <f>SUM(G5:G28)</f>
        <v/>
      </c>
      <c r="H29" s="31">
        <f>G29/(29*COUNTA(E5:E28))</f>
        <v/>
      </c>
    </row>
    <row r="30" ht="19" customHeight="1">
      <c r="A30" s="16" t="inlineStr">
        <is>
          <t>EK03</t>
        </is>
      </c>
      <c r="B30" s="24" t="n">
        <v>0</v>
      </c>
      <c r="C30" s="24" t="n">
        <v>17</v>
      </c>
    </row>
    <row r="31" ht="19" customHeight="1">
      <c r="A31" s="7" t="inlineStr">
        <is>
          <t>EK04</t>
        </is>
      </c>
      <c r="B31" s="26" t="n">
        <v>0</v>
      </c>
      <c r="C31" s="26" t="n">
        <v>17</v>
      </c>
    </row>
    <row r="32" ht="19" customHeight="1">
      <c r="A32" s="16" t="inlineStr">
        <is>
          <t>EK05</t>
        </is>
      </c>
      <c r="B32" s="24" t="n">
        <v>0</v>
      </c>
      <c r="C32" s="24" t="n">
        <v>15</v>
      </c>
    </row>
    <row r="33" ht="19" customHeight="1">
      <c r="A33" s="7" t="inlineStr">
        <is>
          <t>EK06</t>
        </is>
      </c>
      <c r="B33" s="26" t="n">
        <v>0</v>
      </c>
      <c r="C33" s="26" t="n">
        <v>17</v>
      </c>
    </row>
    <row r="34" ht="19" customHeight="1">
      <c r="A34" s="16" t="inlineStr">
        <is>
          <t>EK07</t>
        </is>
      </c>
      <c r="B34" s="24" t="n">
        <v>0</v>
      </c>
      <c r="C34" s="24" t="n">
        <v>27</v>
      </c>
    </row>
    <row r="35" ht="19" customHeight="1">
      <c r="A35" s="7" t="inlineStr">
        <is>
          <t>EK08</t>
        </is>
      </c>
      <c r="B35" s="26" t="n">
        <v>0</v>
      </c>
      <c r="C35" s="26" t="n">
        <v>25</v>
      </c>
    </row>
    <row r="36" ht="19" customHeight="1">
      <c r="A36" s="16" t="inlineStr">
        <is>
          <t>EM08</t>
        </is>
      </c>
      <c r="B36" s="24" t="n">
        <v>0</v>
      </c>
      <c r="C36" s="24" t="n">
        <v>1</v>
      </c>
    </row>
    <row r="37" ht="19" customHeight="1">
      <c r="A37" s="7" t="inlineStr">
        <is>
          <t>EM10</t>
        </is>
      </c>
      <c r="B37" s="26" t="n">
        <v>0</v>
      </c>
      <c r="C37" s="26" t="n">
        <v>1</v>
      </c>
    </row>
    <row r="38" ht="19" customHeight="1">
      <c r="A38" s="16" t="inlineStr">
        <is>
          <t>EM11</t>
        </is>
      </c>
      <c r="B38" s="24" t="n">
        <v>0</v>
      </c>
      <c r="C38" s="24" t="n">
        <v>1</v>
      </c>
    </row>
    <row r="39" ht="19" customHeight="1">
      <c r="A39" s="7" t="inlineStr">
        <is>
          <t>EN02</t>
        </is>
      </c>
      <c r="B39" s="26" t="n">
        <v>0</v>
      </c>
      <c r="C39" s="26" t="n">
        <v>1</v>
      </c>
    </row>
    <row r="40" ht="19" customHeight="1">
      <c r="A40" s="16" t="inlineStr">
        <is>
          <t>ER03</t>
        </is>
      </c>
      <c r="B40" s="24" t="n">
        <v>0</v>
      </c>
      <c r="C40" s="24" t="n">
        <v>1</v>
      </c>
    </row>
    <row r="41" ht="19" customHeight="1">
      <c r="A41" s="7" t="inlineStr">
        <is>
          <t>ER05</t>
        </is>
      </c>
      <c r="B41" s="26" t="n">
        <v>0</v>
      </c>
      <c r="C41" s="26" t="n">
        <v>1</v>
      </c>
    </row>
    <row r="42" ht="19" customHeight="1">
      <c r="A42" s="16" t="inlineStr">
        <is>
          <t>ES08</t>
        </is>
      </c>
      <c r="B42" s="24" t="n">
        <v>0</v>
      </c>
      <c r="C42" s="24" t="n">
        <v>2</v>
      </c>
    </row>
    <row r="43" ht="19" customHeight="1">
      <c r="A43" s="7" t="inlineStr">
        <is>
          <t>ES09</t>
        </is>
      </c>
      <c r="B43" s="26" t="n">
        <v>0</v>
      </c>
      <c r="C43" s="26" t="n">
        <v>2</v>
      </c>
    </row>
    <row r="44" ht="19" customHeight="1">
      <c r="A44" s="16" t="inlineStr">
        <is>
          <t>ES10</t>
        </is>
      </c>
      <c r="B44" s="24" t="n">
        <v>0</v>
      </c>
      <c r="C44" s="24" t="n">
        <v>4</v>
      </c>
    </row>
    <row r="45" ht="19" customHeight="1">
      <c r="A45" s="7" t="inlineStr">
        <is>
          <t>ES11</t>
        </is>
      </c>
      <c r="B45" s="26" t="n">
        <v>0</v>
      </c>
      <c r="C45" s="26" t="n">
        <v>5</v>
      </c>
    </row>
    <row r="46" ht="19" customHeight="1">
      <c r="A46" s="16" t="inlineStr">
        <is>
          <t>ES12</t>
        </is>
      </c>
      <c r="B46" s="24" t="n">
        <v>0</v>
      </c>
      <c r="C46" s="24" t="n">
        <v>6</v>
      </c>
    </row>
    <row r="47" ht="19" customHeight="1">
      <c r="A47" s="7" t="inlineStr">
        <is>
          <t>ES13</t>
        </is>
      </c>
      <c r="B47" s="26" t="n">
        <v>0</v>
      </c>
      <c r="C47" s="26" t="n">
        <v>10</v>
      </c>
    </row>
    <row r="48" ht="19" customHeight="1">
      <c r="A48" s="16" t="inlineStr">
        <is>
          <t>ES14</t>
        </is>
      </c>
      <c r="B48" s="24" t="n">
        <v>0</v>
      </c>
      <c r="C48" s="24" t="n">
        <v>16</v>
      </c>
    </row>
    <row r="49" ht="19" customHeight="1">
      <c r="A49" s="7" t="inlineStr">
        <is>
          <t>ES15</t>
        </is>
      </c>
      <c r="B49" s="26" t="n">
        <v>0</v>
      </c>
      <c r="C49" s="26" t="n">
        <v>17</v>
      </c>
    </row>
    <row r="50" ht="19" customHeight="1">
      <c r="A50" s="16" t="inlineStr">
        <is>
          <t>ES16</t>
        </is>
      </c>
      <c r="B50" s="24" t="n">
        <v>0</v>
      </c>
      <c r="C50" s="24" t="n">
        <v>19</v>
      </c>
    </row>
    <row r="51" ht="19" customHeight="1">
      <c r="A51" s="7" t="inlineStr">
        <is>
          <t>ES17</t>
        </is>
      </c>
      <c r="B51" s="26" t="n">
        <v>0</v>
      </c>
      <c r="C51" s="26" t="n">
        <v>21</v>
      </c>
    </row>
    <row r="52" ht="19" customHeight="1">
      <c r="A52" s="16" t="inlineStr">
        <is>
          <t>ES18</t>
        </is>
      </c>
      <c r="B52" s="24" t="n">
        <v>0</v>
      </c>
      <c r="C52" s="24" t="n">
        <v>21</v>
      </c>
    </row>
    <row r="53" ht="19" customHeight="1">
      <c r="A53" s="7" t="inlineStr">
        <is>
          <t>ES20</t>
        </is>
      </c>
      <c r="B53" s="26" t="n">
        <v>0</v>
      </c>
      <c r="C53" s="26" t="n">
        <v>1</v>
      </c>
    </row>
    <row r="54" ht="19" customHeight="1">
      <c r="A54" s="16" t="inlineStr">
        <is>
          <t>ES22</t>
        </is>
      </c>
      <c r="B54" s="24" t="n">
        <v>0</v>
      </c>
      <c r="C54" s="24" t="n">
        <v>1</v>
      </c>
    </row>
    <row r="55" ht="19" customHeight="1">
      <c r="A55" s="7" t="inlineStr">
        <is>
          <t>ES24</t>
        </is>
      </c>
      <c r="B55" s="26" t="n">
        <v>0</v>
      </c>
      <c r="C55" s="26" t="n">
        <v>2</v>
      </c>
    </row>
    <row r="56" ht="19" customHeight="1">
      <c r="A56" s="16" t="inlineStr">
        <is>
          <t>ES25</t>
        </is>
      </c>
      <c r="B56" s="24" t="n">
        <v>0</v>
      </c>
      <c r="C56" s="24" t="n">
        <v>3</v>
      </c>
    </row>
    <row r="57" ht="19" customHeight="1">
      <c r="A57" s="7" t="inlineStr">
        <is>
          <t>ES26</t>
        </is>
      </c>
      <c r="B57" s="26" t="n">
        <v>0</v>
      </c>
      <c r="C57" s="26" t="n">
        <v>5</v>
      </c>
    </row>
    <row r="58" ht="19" customHeight="1">
      <c r="A58" s="16" t="inlineStr">
        <is>
          <t>ES27</t>
        </is>
      </c>
      <c r="B58" s="24" t="n">
        <v>0</v>
      </c>
      <c r="C58" s="24" t="n">
        <v>4</v>
      </c>
    </row>
    <row r="59" ht="19" customHeight="1">
      <c r="A59" s="7" t="inlineStr">
        <is>
          <t>ES28</t>
        </is>
      </c>
      <c r="B59" s="26" t="n">
        <v>0</v>
      </c>
      <c r="C59" s="26" t="n">
        <v>5</v>
      </c>
    </row>
    <row r="60" ht="19" customHeight="1">
      <c r="A60" s="16" t="inlineStr">
        <is>
          <t>ES29</t>
        </is>
      </c>
      <c r="B60" s="24" t="n">
        <v>0</v>
      </c>
      <c r="C60" s="24" t="n">
        <v>8</v>
      </c>
    </row>
    <row r="61" ht="19" customHeight="1">
      <c r="A61" s="7" t="inlineStr">
        <is>
          <t>EX08</t>
        </is>
      </c>
      <c r="B61" s="26" t="n">
        <v>0</v>
      </c>
      <c r="C61" s="26" t="n">
        <v>1</v>
      </c>
    </row>
    <row r="62" ht="19" customHeight="1">
      <c r="A62" s="16" t="inlineStr">
        <is>
          <t>EX14</t>
        </is>
      </c>
      <c r="B62" s="24" t="n">
        <v>0</v>
      </c>
      <c r="C62" s="24" t="n">
        <v>1</v>
      </c>
    </row>
    <row r="63" ht="19" customHeight="1">
      <c r="A63" s="7" t="inlineStr">
        <is>
          <t>JGT2</t>
        </is>
      </c>
      <c r="B63" s="26" t="n">
        <v>0</v>
      </c>
      <c r="C63" s="26" t="n">
        <v>11</v>
      </c>
    </row>
    <row r="64" ht="19" customHeight="1">
      <c r="A64" s="16" t="inlineStr">
        <is>
          <t>KMR7</t>
        </is>
      </c>
      <c r="B64" s="24" t="n">
        <v>0</v>
      </c>
      <c r="C64" s="24" t="n">
        <v>10</v>
      </c>
    </row>
    <row r="65" ht="19" customHeight="1">
      <c r="A65" s="7" t="inlineStr">
        <is>
          <t>ML03</t>
        </is>
      </c>
      <c r="B65" s="26" t="n">
        <v>0</v>
      </c>
      <c r="C65" s="26" t="n">
        <v>1</v>
      </c>
    </row>
    <row r="66" ht="19" customHeight="1">
      <c r="A66" s="16" t="inlineStr">
        <is>
          <t>MV03</t>
        </is>
      </c>
      <c r="B66" s="24" t="n">
        <v>0</v>
      </c>
      <c r="C66" s="24" t="n">
        <v>2</v>
      </c>
    </row>
    <row r="67" ht="22" customHeight="1">
      <c r="A67" s="27" t="inlineStr">
        <is>
          <t>Total</t>
        </is>
      </c>
      <c r="B67" s="29">
        <f>SUM(B5:B66)</f>
        <v/>
      </c>
      <c r="C67" s="29">
        <f>SUM(C5:C66)</f>
        <v/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2026-10-27T06:10:50Z</dcterms:created>
  <dcterms:modified xmlns:dcterms="http://purl.org/dc/terms/" xmlns:xsi="http://www.w3.org/2001/XMLSchema-instance" xsi:type="dcterms:W3CDTF">2026-10-27T06:10:50Z</dcterms:modified>
</cp:coreProperties>
</file>